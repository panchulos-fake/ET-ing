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ego\Desktop\"/>
    </mc:Choice>
  </mc:AlternateContent>
  <xr:revisionPtr revIDLastSave="0" documentId="13_ncr:1_{BA4786E3-9D1D-4E07-A79D-13CF013416C6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ciones" sheetId="1" r:id="rId1"/>
    <sheet name="Evaluacion" sheetId="2" r:id="rId2"/>
    <sheet name="Resumen" sheetId="3" r:id="rId3"/>
    <sheet name="Referencia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D22" i="3"/>
  <c r="C22" i="3"/>
  <c r="G22" i="3" s="1"/>
  <c r="E21" i="3"/>
  <c r="D21" i="3"/>
  <c r="C21" i="3"/>
  <c r="G21" i="3" s="1"/>
  <c r="E20" i="3"/>
  <c r="D20" i="3"/>
  <c r="C20" i="3"/>
  <c r="E19" i="3"/>
  <c r="D19" i="3"/>
  <c r="C19" i="3"/>
  <c r="F19" i="3" s="1"/>
  <c r="E18" i="3"/>
  <c r="D18" i="3"/>
  <c r="C18" i="3"/>
  <c r="E17" i="3"/>
  <c r="D17" i="3"/>
  <c r="C17" i="3"/>
  <c r="E16" i="3"/>
  <c r="D16" i="3"/>
  <c r="C16" i="3"/>
  <c r="E15" i="3"/>
  <c r="D15" i="3"/>
  <c r="C15" i="3"/>
  <c r="G15" i="3" s="1"/>
  <c r="E14" i="3"/>
  <c r="D14" i="3"/>
  <c r="C14" i="3"/>
  <c r="E13" i="3"/>
  <c r="D13" i="3"/>
  <c r="C13" i="3"/>
  <c r="C9" i="3"/>
  <c r="C8" i="3"/>
  <c r="C7" i="3"/>
  <c r="C6" i="3"/>
  <c r="C5" i="3"/>
  <c r="G13" i="3" l="1"/>
  <c r="G20" i="3"/>
  <c r="G18" i="3"/>
  <c r="G16" i="3"/>
  <c r="F14" i="3"/>
  <c r="G17" i="3"/>
  <c r="F17" i="3"/>
  <c r="F16" i="3"/>
  <c r="G14" i="3"/>
  <c r="F21" i="3"/>
  <c r="F13" i="3"/>
  <c r="F18" i="3"/>
  <c r="F20" i="3"/>
  <c r="F15" i="3"/>
  <c r="G19" i="3"/>
  <c r="F22" i="3"/>
</calcChain>
</file>

<file path=xl/sharedStrings.xml><?xml version="1.0" encoding="utf-8"?>
<sst xmlns="http://schemas.openxmlformats.org/spreadsheetml/2006/main" count="179" uniqueCount="146">
  <si>
    <t>EVALUACION HEURISTICA DE USABILIDAD - NIELSEN</t>
  </si>
  <si>
    <t>INSTRUCCIONES DE USO</t>
  </si>
  <si>
    <t>1. Complete los datos del equipo evaluador en esta hoja.</t>
  </si>
  <si>
    <t>2. Navegue por el MVP asignado durante al menos 20 minutos antes de evaluar.</t>
  </si>
  <si>
    <t>3. Use la hoja 'Evaluacion' para registrar todos los problemas encontrados.</t>
  </si>
  <si>
    <t>4. Para cada problema, asigne una severidad segun la escala de Nielsen (0 a 4).</t>
  </si>
  <si>
    <t>5. Documente con capturas de pantalla o notas descriptivas en la columna Evidencia.</t>
  </si>
  <si>
    <t>6. La hoja 'Resumen' se actualiza automaticamente al completar la evaluacion.</t>
  </si>
  <si>
    <t>7. La hoja 'Referencia' contiene los principios y ejemplos para consulta.</t>
  </si>
  <si>
    <t>ESCALA DE SEVERIDAD (Nielsen, 1994)</t>
  </si>
  <si>
    <t>0</t>
  </si>
  <si>
    <t>No es un problema de usabilidad</t>
  </si>
  <si>
    <t>1</t>
  </si>
  <si>
    <t>2</t>
  </si>
  <si>
    <t>3</t>
  </si>
  <si>
    <t>4</t>
  </si>
  <si>
    <t>REGISTRO DE PROBLEMAS DE USABILIDAD — EVALUACION HEURISTICA</t>
  </si>
  <si>
    <t>Complete una fila por cada problema encontrado. Puede agregar mas filas segun sea necesario.</t>
  </si>
  <si>
    <t>#</t>
  </si>
  <si>
    <t>Heuristica</t>
  </si>
  <si>
    <t>Descripcion del problema</t>
  </si>
  <si>
    <t>Severidad
(0-4)</t>
  </si>
  <si>
    <t>Evidencia
(captura/URL)</t>
  </si>
  <si>
    <t>Recomendacion de mejora</t>
  </si>
  <si>
    <t>Evaluador</t>
  </si>
  <si>
    <t>Los valores se calculan automaticamente desde la hoja Evaluacion</t>
  </si>
  <si>
    <t>METRICAS GLOBALES</t>
  </si>
  <si>
    <t>Total de problemas registrados</t>
  </si>
  <si>
    <t>Promedio de severidad</t>
  </si>
  <si>
    <t>Problemas catastroficos (sev. 4)</t>
  </si>
  <si>
    <t>Problemas mayores (sev. 3)</t>
  </si>
  <si>
    <t>Problemas menores (sev. 1-2)</t>
  </si>
  <si>
    <t>DISTRIBUCION POR HEURISTICA</t>
  </si>
  <si>
    <t># Problemas</t>
  </si>
  <si>
    <t>Sev. Max.</t>
  </si>
  <si>
    <t>Sev. Prom.</t>
  </si>
  <si>
    <t>Estado</t>
  </si>
  <si>
    <t>Prioridad</t>
  </si>
  <si>
    <t>H1 - Visibilidad del estado</t>
  </si>
  <si>
    <t>H2 - Sistema y mundo real</t>
  </si>
  <si>
    <t>H3 - Control y libertad</t>
  </si>
  <si>
    <t>H4 - Consistencia y estandares</t>
  </si>
  <si>
    <t>H5 - Prevencion de errores</t>
  </si>
  <si>
    <t>H6 - Reconocimiento &gt; recuerdo</t>
  </si>
  <si>
    <t>H7 - Flexibilidad y eficiencia</t>
  </si>
  <si>
    <t>H8 - Diseno minimalista</t>
  </si>
  <si>
    <t>H9 - Recuperacion de errores</t>
  </si>
  <si>
    <t>H10 - Ayuda y documentacion</t>
  </si>
  <si>
    <t>REFERENCIA RAPIDA — 10 HEURISTICAS DE NIELSEN</t>
  </si>
  <si>
    <t>Consulta este panel mientras evaluas el MVP. Los ejemplos son orientativos para sistemas web/movil.</t>
  </si>
  <si>
    <t>Descripcion del principio</t>
  </si>
  <si>
    <t>Ejemplo en MVP (buena practica)</t>
  </si>
  <si>
    <t>Señal de problema a registrar</t>
  </si>
  <si>
    <t>H1</t>
  </si>
  <si>
    <t>Visibilidad del estado</t>
  </si>
  <si>
    <t>El sistema mantiene informado al usuario sobre lo que ocurre mediante feedback oportuno.</t>
  </si>
  <si>
    <t>Barra de progreso al subir archivos. Spinner de carga. Toast de confirmacion al guardar datos.</t>
  </si>
  <si>
    <t>Boton que no responde visualmente. Sin indicador de carga. Usuario no sabe si la accion funciono.</t>
  </si>
  <si>
    <t>H2</t>
  </si>
  <si>
    <t>Sistema y mundo real</t>
  </si>
  <si>
    <t>El sistema usa el lenguaje del usuario: palabras y conceptos familiares, no tecnicos.</t>
  </si>
  <si>
    <t>Icono de carrito para compras. 'Papelera' para eliminar. Fechas en formato dd/mm/aaaa.</t>
  </si>
  <si>
    <t>Mensajes tecnicos: 'Error 403 Forbidden'. Terminos internos del sistema expuestos al usuario.</t>
  </si>
  <si>
    <t>H3</t>
  </si>
  <si>
    <t>Control y libertad</t>
  </si>
  <si>
    <t>El usuario puede salir de acciones no deseadas con salidas de emergencia claras.</t>
  </si>
  <si>
    <t>Opcion Deshacer al eliminar elemento. Boton Cancelar en formularios. Navegacion por pasos reversible.</t>
  </si>
  <si>
    <t>Sin forma de cancelar un proceso. Formulario sin boton Atras. Sin opcion de deshacer eliminacion.</t>
  </si>
  <si>
    <t>H4</t>
  </si>
  <si>
    <t>Consistencia y estandares</t>
  </si>
  <si>
    <t>Las mismas acciones y elementos se comportan igual en todo el sistema.</t>
  </si>
  <si>
    <t>Boton primario mismo color en todo el sistema. Color rojo siempre indica error. Campos en mismo orden.</t>
  </si>
  <si>
    <t>Guardar, Registrar y Confirmar para la misma accion. Botones de distinto color por modulo.</t>
  </si>
  <si>
    <t>H5</t>
  </si>
  <si>
    <t>Prevencion de errores</t>
  </si>
  <si>
    <t>El diseño evita que los errores ocurran antes de que el usuario los cometa.</t>
  </si>
  <si>
    <t>Campo deshabilitado si falta informacion. Confirmacion antes de eliminar. Validacion en tiempo real.</t>
  </si>
  <si>
    <t>Fecha 30/02 se acepta sin validar. Boton Enviar activo con campos requeridos vacios.</t>
  </si>
  <si>
    <t>H6</t>
  </si>
  <si>
    <t>Reconocimiento &gt; recuerdo</t>
  </si>
  <si>
    <t>Minimizar la carga de memoria: las opciones disponibles deben ser visibles, no memorizadas.</t>
  </si>
  <si>
    <t>Autocompletado en busquedas. Historial de elementos recientes. Breadcrumbs de navegacion.</t>
  </si>
  <si>
    <t>Usuario debe recordar sintaxis exacta. Formulario borra datos al navegar hacia atras.</t>
  </si>
  <si>
    <t>H7</t>
  </si>
  <si>
    <t>Flexibilidad y eficiencia</t>
  </si>
  <si>
    <t>Atajos para expertos sin afectar la experiencia de usuarios nuevos.</t>
  </si>
  <si>
    <t>Atajos de teclado Ctrl+N. Filtros guardados. Exportacion masiva de datos con un clic.</t>
  </si>
  <si>
    <t>Solo se puede registrar de uno en uno. No hay forma de repetir la ultima accion ejecutada.</t>
  </si>
  <si>
    <t>H8</t>
  </si>
  <si>
    <t>Diseño minimalista</t>
  </si>
  <si>
    <t>Solo la informacion necesaria: los elementos irrelevantes compiten por la atencion del usuario.</t>
  </si>
  <si>
    <t>Dashboard con 3 a 5 metricas clave. Formulario en pasos, no todo en una pantalla.</t>
  </si>
  <si>
    <t>20 botones visibles simultaneamente. Panel con informacion que nunca se usa en el flujo principal.</t>
  </si>
  <si>
    <t>H9</t>
  </si>
  <si>
    <t>Recuperacion de errores</t>
  </si>
  <si>
    <t>Los mensajes de error son claros, indican el problema exacto y sugieren una solucion concreta.</t>
  </si>
  <si>
    <t>'El correo no tiene formato valido (ej: usuario@dominio.com)'. Enlace directo a solucion del error.</t>
  </si>
  <si>
    <t>'Error 500'. 'Operacion fallida'. Mensaje generico sin indicar que hacer para resolverlo.</t>
  </si>
  <si>
    <t>H10</t>
  </si>
  <si>
    <t>Ayuda y documentacion</t>
  </si>
  <si>
    <t>La ayuda es facil de encontrar, orientada a tareas concretas y accesible desde el flujo.</t>
  </si>
  <si>
    <t>Tooltip contextual en campos complejos. Guia de inicio rapido. FAQ con buscador integrado.</t>
  </si>
  <si>
    <t>Manual PDF de 80 paginas sin buscador. Ayuda solo accesible desde el menu principal oculto.</t>
  </si>
  <si>
    <t>Ingenieria de Software - Calidad y Pruebas - Plantilla de Evaluacion</t>
  </si>
  <si>
    <t>Problema cosmético | corregir solo si hay tiempo</t>
  </si>
  <si>
    <t>Problema menor | baja prioridad de correccion</t>
  </si>
  <si>
    <t>Problema mayor  | alta prioridad, dificulta el uso</t>
  </si>
  <si>
    <t>CATASTROFICO | imperativo corregir antes del lanzamiento</t>
  </si>
  <si>
    <t>RESUMEN EJECUTIVO  EVALUACION HEURISTICA</t>
  </si>
  <si>
    <t>Ubicacion en el Prototipo</t>
  </si>
  <si>
    <t>El programa solo permite la gestión de comunidades. Se debe incluir además bloque, torre y propiedades.</t>
  </si>
  <si>
    <t>Implementar el acceso pendiente de gestiones a bloque, torre y propiedad.</t>
  </si>
  <si>
    <t>https://imgur.com/jSiEHT7</t>
  </si>
  <si>
    <t>Diego Cid</t>
  </si>
  <si>
    <r>
      <t xml:space="preserve">Panel del Administrador </t>
    </r>
    <r>
      <rPr>
        <b/>
        <sz val="10"/>
        <color rgb="FF2C2C2A"/>
        <rFont val="Arial"/>
        <family val="2"/>
      </rPr>
      <t>V.1</t>
    </r>
  </si>
  <si>
    <t>No está presente toda la información que es necesaria en el panel.</t>
  </si>
  <si>
    <t>Agregar dashboards con información de los gestores pendientes. (Bloque, torre, propiedad)</t>
  </si>
  <si>
    <t>Cuando se desactiva una comunidad desaparece el botón "desactivar" sin una opción para activar.</t>
  </si>
  <si>
    <t>https://imgur.com/TyRLdNv</t>
  </si>
  <si>
    <t>Agregar un botón de "activar" cuando una comunidad sea desactivada para una gestión total.</t>
  </si>
  <si>
    <t>La dirección es difícil de leer en el dashboard al truncarse la ubicación (con "…") muy pronto.</t>
  </si>
  <si>
    <t>https://imgur.com/CmAYpho</t>
  </si>
  <si>
    <t>Ampliar el campo de texto de dirección en el Dashboard.</t>
  </si>
  <si>
    <t>https://imgur.com/SiGa4nV</t>
  </si>
  <si>
    <t>Demostrar la jerarquía de quién contiene a quién a la hora de seleccionar una opción u otra.</t>
  </si>
  <si>
    <t>El sistema no refleja la ruta lógica de Comunidades -&gt; Bloque -&gt; Torre de forma eficiente.</t>
  </si>
  <si>
    <t>https://imgur.com/uRc45H7</t>
  </si>
  <si>
    <t>La ruta de acceso rápido se duplica, hay una a la derecha y una a la izquierda con las mismas opciones.</t>
  </si>
  <si>
    <r>
      <t xml:space="preserve">Panel del Administrador </t>
    </r>
    <r>
      <rPr>
        <b/>
        <sz val="10"/>
        <color rgb="FF2C2C2A"/>
        <rFont val="Arial"/>
        <family val="2"/>
      </rPr>
      <t>V.2</t>
    </r>
  </si>
  <si>
    <t>Eliminar uno de los accesos o unificarlos en una única sección.</t>
  </si>
  <si>
    <t>En algunos accesos directos se ve reflejado el código de de requisito, el usuario final no necesita esos datos.</t>
  </si>
  <si>
    <t>https://imgur.com/hTHDfyp</t>
  </si>
  <si>
    <t>Eliminar los códigos.</t>
  </si>
  <si>
    <t>El icóno usado refleja que se abrirá una pestaña nueva o una web externa y no es el caso en el Panel.</t>
  </si>
  <si>
    <t>https://imgur.com/BmIsf65</t>
  </si>
  <si>
    <r>
      <t xml:space="preserve">Modificar los icónos por uno más adecuado cómo </t>
    </r>
    <r>
      <rPr>
        <b/>
        <sz val="10"/>
        <color rgb="FF2C2C2A"/>
        <rFont val="Arial"/>
        <family val="2"/>
      </rPr>
      <t>-&gt;</t>
    </r>
    <r>
      <rPr>
        <sz val="10"/>
        <color rgb="FF2C2C2A"/>
        <rFont val="Arial"/>
        <family val="2"/>
      </rPr>
      <t xml:space="preserve"> o </t>
    </r>
    <r>
      <rPr>
        <b/>
        <sz val="10"/>
        <color rgb="FF2C2C2A"/>
        <rFont val="Arial"/>
        <family val="2"/>
      </rPr>
      <t>&gt;</t>
    </r>
    <r>
      <rPr>
        <sz val="10"/>
        <color rgb="FF2C2C2A"/>
        <rFont val="Arial"/>
        <family val="2"/>
      </rPr>
      <t>.</t>
    </r>
  </si>
  <si>
    <t>El selector de comunidad en la parte superior derecha del Panel no tiene ninguna función real.</t>
  </si>
  <si>
    <r>
      <t xml:space="preserve">Panel del Administrador </t>
    </r>
    <r>
      <rPr>
        <b/>
        <sz val="10"/>
        <color rgb="FF2C2C2A"/>
        <rFont val="Arial"/>
        <family val="2"/>
      </rPr>
      <t>V.3</t>
    </r>
  </si>
  <si>
    <t>Eliminar la selección de comunidad en la parte superior derecha.</t>
  </si>
  <si>
    <t>https://imgur.com/ZD2vCCv</t>
  </si>
  <si>
    <t>El historial de ocupación ocupa una gran parte de la pantalla hasta que se seleccione un usuario.</t>
  </si>
  <si>
    <t>https://imgur.com/lq7Kp3g</t>
  </si>
  <si>
    <t>Ocultar el despliegue del historial de ocupación hasta que se seleccione un usuario para revisar.</t>
  </si>
  <si>
    <t>El parroteo total se enseña dos veces seguidas en el despliegue de torre.</t>
  </si>
  <si>
    <t>https://imgur.com/AEsEks8</t>
  </si>
  <si>
    <t>Eliminar uno de los despliegues.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</si>
</sst>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2C2C2A"/>
      <name val="Arial"/>
      <family val="2"/>
    </font>
    <font>
      <b/>
      <sz val="10"/>
      <color rgb="FF5F5E5A"/>
      <name val="Arial"/>
      <family val="2"/>
    </font>
    <font>
      <b/>
      <sz val="13"/>
      <name val="Arial"/>
      <family val="2"/>
    </font>
    <font>
      <b/>
      <sz val="16"/>
      <name val="Arial"/>
      <family val="2"/>
    </font>
    <font>
      <sz val="11"/>
      <name val="Calibri"/>
      <family val="2"/>
      <scheme val="minor"/>
    </font>
    <font>
      <i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b/>
      <sz val="10"/>
      <color rgb="FF2C2C2A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F5E5A"/>
      </patternFill>
    </fill>
    <fill>
      <patternFill patternType="solid">
        <fgColor rgb="FFF8F8F6"/>
      </patternFill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40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1" fillId="5" borderId="0" xfId="0" applyFont="1" applyFill="1" applyAlignment="1">
      <alignment horizontal="center" vertical="center" wrapText="1"/>
    </xf>
    <xf numFmtId="0" fontId="6" fillId="5" borderId="0" xfId="0" applyFont="1" applyFill="1"/>
    <xf numFmtId="0" fontId="4" fillId="5" borderId="0" xfId="0" applyFont="1" applyFill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6" fillId="0" borderId="2" xfId="0" applyFont="1" applyBorder="1"/>
    <xf numFmtId="0" fontId="8" fillId="0" borderId="2" xfId="0" applyFont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/>
    <xf numFmtId="0" fontId="5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13" fillId="4" borderId="2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/>
    </xf>
    <xf numFmtId="164" fontId="13" fillId="4" borderId="2" xfId="0" applyNumberFormat="1" applyFont="1" applyFill="1" applyBorder="1" applyAlignment="1">
      <alignment horizontal="center" vertical="center" wrapText="1"/>
    </xf>
    <xf numFmtId="0" fontId="16" fillId="0" borderId="0" xfId="1" applyAlignment="1">
      <alignment horizontal="center" vertical="center" wrapText="1"/>
    </xf>
    <xf numFmtId="0" fontId="16" fillId="0" borderId="0" xfId="1" applyAlignment="1">
      <alignment horizontal="center" vertical="center"/>
    </xf>
    <xf numFmtId="0" fontId="16" fillId="4" borderId="1" xfId="1" applyFill="1" applyBorder="1" applyAlignment="1">
      <alignment horizontal="left" vertical="center" wrapText="1"/>
    </xf>
    <xf numFmtId="0" fontId="16" fillId="3" borderId="1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8">
    <dxf>
      <font>
        <color rgb="FF27500A"/>
        <name val="Arial"/>
      </font>
      <fill>
        <patternFill>
          <bgColor rgb="FFEAF3DE"/>
        </patternFill>
      </fill>
    </dxf>
    <dxf>
      <font>
        <b/>
        <color rgb="FF633806"/>
        <name val="Arial"/>
      </font>
      <fill>
        <patternFill>
          <bgColor rgb="FFFAEEDA"/>
        </patternFill>
      </fill>
    </dxf>
    <dxf>
      <font>
        <b/>
        <color rgb="FF791F1F"/>
        <name val="Arial"/>
      </font>
      <fill>
        <patternFill>
          <bgColor rgb="FFFCEBEB"/>
        </patternFill>
      </fill>
    </dxf>
    <dxf>
      <font>
        <b/>
        <sz val="13"/>
        <color rgb="FF791F1F"/>
        <name val="Arial"/>
      </font>
      <fill>
        <patternFill>
          <bgColor rgb="FFFCEBEB"/>
        </patternFill>
      </fill>
    </dxf>
    <dxf>
      <font>
        <b/>
        <sz val="13"/>
        <color rgb="FF8B4000"/>
        <name val="Arial"/>
      </font>
      <fill>
        <patternFill>
          <bgColor rgb="FFFCEBD0"/>
        </patternFill>
      </fill>
    </dxf>
    <dxf>
      <font>
        <b/>
        <sz val="13"/>
        <color rgb="FF633806"/>
        <name val="Arial"/>
      </font>
      <fill>
        <patternFill>
          <bgColor rgb="FFFAEEDA"/>
        </patternFill>
      </fill>
    </dxf>
    <dxf>
      <font>
        <b/>
        <sz val="13"/>
        <color rgb="FF633806"/>
        <name val="Arial"/>
      </font>
      <fill>
        <patternFill>
          <bgColor rgb="FFFFF9F0"/>
        </patternFill>
      </fill>
    </dxf>
    <dxf>
      <font>
        <b/>
        <sz val="13"/>
        <color rgb="FF5F5E5A"/>
        <name val="Arial"/>
      </font>
      <fill>
        <patternFill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mgur.com/BmIsf65" TargetMode="External"/><Relationship Id="rId3" Type="http://schemas.openxmlformats.org/officeDocument/2006/relationships/hyperlink" Target="https://imgur.com/TyRLdNv" TargetMode="External"/><Relationship Id="rId7" Type="http://schemas.openxmlformats.org/officeDocument/2006/relationships/hyperlink" Target="https://imgur.com/hTHDfyp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imgur.com/jSiEHT7" TargetMode="External"/><Relationship Id="rId1" Type="http://schemas.openxmlformats.org/officeDocument/2006/relationships/hyperlink" Target="https://imgur.com/jSiEHT7" TargetMode="External"/><Relationship Id="rId6" Type="http://schemas.openxmlformats.org/officeDocument/2006/relationships/hyperlink" Target="https://imgur.com/uRc45H7" TargetMode="External"/><Relationship Id="rId11" Type="http://schemas.openxmlformats.org/officeDocument/2006/relationships/hyperlink" Target="https://imgur.com/AEsEks8" TargetMode="External"/><Relationship Id="rId5" Type="http://schemas.openxmlformats.org/officeDocument/2006/relationships/hyperlink" Target="https://imgur.com/SiGa4nV" TargetMode="External"/><Relationship Id="rId10" Type="http://schemas.openxmlformats.org/officeDocument/2006/relationships/hyperlink" Target="https://imgur.com/lq7Kp3g" TargetMode="External"/><Relationship Id="rId4" Type="http://schemas.openxmlformats.org/officeDocument/2006/relationships/hyperlink" Target="https://imgur.com/CmAYpho" TargetMode="External"/><Relationship Id="rId9" Type="http://schemas.openxmlformats.org/officeDocument/2006/relationships/hyperlink" Target="https://imgur.com/ZD2vCC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0"/>
  <sheetViews>
    <sheetView showGridLines="0" topLeftCell="A4" zoomScale="140" zoomScaleNormal="140" workbookViewId="0">
      <selection activeCell="B8" sqref="B8:E8"/>
    </sheetView>
  </sheetViews>
  <sheetFormatPr baseColWidth="10" defaultColWidth="8.81640625" defaultRowHeight="14.5" x14ac:dyDescent="0.35"/>
  <cols>
    <col min="1" max="1" width="2" customWidth="1"/>
    <col min="2" max="2" width="22" customWidth="1"/>
    <col min="3" max="3" width="50" customWidth="1"/>
    <col min="4" max="4" width="22" customWidth="1"/>
    <col min="5" max="5" width="18" customWidth="1"/>
  </cols>
  <sheetData>
    <row r="2" spans="2:5" ht="40" customHeight="1" x14ac:dyDescent="0.35">
      <c r="B2" s="29" t="s">
        <v>0</v>
      </c>
      <c r="C2" s="22"/>
      <c r="D2" s="22"/>
      <c r="E2" s="22"/>
    </row>
    <row r="3" spans="2:5" ht="22" customHeight="1" x14ac:dyDescent="0.35">
      <c r="B3" s="30" t="s">
        <v>103</v>
      </c>
      <c r="C3" s="22"/>
      <c r="D3" s="22"/>
      <c r="E3" s="22"/>
    </row>
    <row r="5" spans="2:5" ht="18" customHeight="1" x14ac:dyDescent="0.35">
      <c r="B5" s="27" t="s">
        <v>1</v>
      </c>
      <c r="C5" s="28"/>
      <c r="D5" s="28"/>
      <c r="E5" s="28"/>
    </row>
    <row r="6" spans="2:5" ht="18" customHeight="1" x14ac:dyDescent="0.35">
      <c r="B6" s="24" t="s">
        <v>2</v>
      </c>
      <c r="C6" s="25"/>
      <c r="D6" s="25"/>
      <c r="E6" s="25"/>
    </row>
    <row r="7" spans="2:5" ht="18" customHeight="1" x14ac:dyDescent="0.35">
      <c r="B7" s="24" t="s">
        <v>3</v>
      </c>
      <c r="C7" s="25"/>
      <c r="D7" s="25"/>
      <c r="E7" s="25"/>
    </row>
    <row r="8" spans="2:5" ht="18" customHeight="1" x14ac:dyDescent="0.35">
      <c r="B8" s="24" t="s">
        <v>4</v>
      </c>
      <c r="C8" s="25"/>
      <c r="D8" s="25"/>
      <c r="E8" s="25"/>
    </row>
    <row r="9" spans="2:5" ht="18" customHeight="1" x14ac:dyDescent="0.35">
      <c r="B9" s="24" t="s">
        <v>5</v>
      </c>
      <c r="C9" s="25"/>
      <c r="D9" s="25"/>
      <c r="E9" s="25"/>
    </row>
    <row r="10" spans="2:5" ht="18" customHeight="1" x14ac:dyDescent="0.35">
      <c r="B10" s="24" t="s">
        <v>6</v>
      </c>
      <c r="C10" s="25"/>
      <c r="D10" s="25"/>
      <c r="E10" s="25"/>
    </row>
    <row r="11" spans="2:5" ht="18" customHeight="1" x14ac:dyDescent="0.35">
      <c r="B11" s="24" t="s">
        <v>7</v>
      </c>
      <c r="C11" s="25"/>
      <c r="D11" s="25"/>
      <c r="E11" s="25"/>
    </row>
    <row r="12" spans="2:5" ht="18" customHeight="1" x14ac:dyDescent="0.35">
      <c r="B12" s="24" t="s">
        <v>8</v>
      </c>
      <c r="C12" s="25"/>
      <c r="D12" s="25"/>
      <c r="E12" s="25"/>
    </row>
    <row r="15" spans="2:5" ht="18" customHeight="1" x14ac:dyDescent="0.35">
      <c r="B15" s="26" t="s">
        <v>9</v>
      </c>
      <c r="C15" s="25"/>
      <c r="D15" s="25"/>
      <c r="E15" s="25"/>
    </row>
    <row r="16" spans="2:5" ht="18" customHeight="1" x14ac:dyDescent="0.35">
      <c r="B16" s="7" t="s">
        <v>10</v>
      </c>
      <c r="C16" s="24" t="s">
        <v>11</v>
      </c>
      <c r="D16" s="25"/>
      <c r="E16" s="25"/>
    </row>
    <row r="17" spans="2:5" ht="18" customHeight="1" x14ac:dyDescent="0.35">
      <c r="B17" s="7" t="s">
        <v>12</v>
      </c>
      <c r="C17" s="24" t="s">
        <v>104</v>
      </c>
      <c r="D17" s="25"/>
      <c r="E17" s="25"/>
    </row>
    <row r="18" spans="2:5" ht="18" customHeight="1" x14ac:dyDescent="0.35">
      <c r="B18" s="7" t="s">
        <v>13</v>
      </c>
      <c r="C18" s="24" t="s">
        <v>105</v>
      </c>
      <c r="D18" s="25"/>
      <c r="E18" s="25"/>
    </row>
    <row r="19" spans="2:5" ht="18" customHeight="1" x14ac:dyDescent="0.35">
      <c r="B19" s="7" t="s">
        <v>14</v>
      </c>
      <c r="C19" s="24" t="s">
        <v>106</v>
      </c>
      <c r="D19" s="25"/>
      <c r="E19" s="25"/>
    </row>
    <row r="20" spans="2:5" ht="18" customHeight="1" x14ac:dyDescent="0.35">
      <c r="B20" s="7" t="s">
        <v>15</v>
      </c>
      <c r="C20" s="24" t="s">
        <v>107</v>
      </c>
      <c r="D20" s="25"/>
      <c r="E20" s="25"/>
    </row>
  </sheetData>
  <mergeCells count="16">
    <mergeCell ref="B2:E2"/>
    <mergeCell ref="C19:E19"/>
    <mergeCell ref="B6:E6"/>
    <mergeCell ref="B12:E12"/>
    <mergeCell ref="B8:E8"/>
    <mergeCell ref="C18:E18"/>
    <mergeCell ref="B3:E3"/>
    <mergeCell ref="B11:E11"/>
    <mergeCell ref="B7:E7"/>
    <mergeCell ref="C17:E17"/>
    <mergeCell ref="B10:E10"/>
    <mergeCell ref="C20:E20"/>
    <mergeCell ref="B9:E9"/>
    <mergeCell ref="B15:E15"/>
    <mergeCell ref="C16:E16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showGridLines="0" tabSelected="1" workbookViewId="0">
      <pane ySplit="3" topLeftCell="A4" activePane="bottomLeft" state="frozen"/>
      <selection pane="bottomLeft" activeCell="B15" sqref="B15"/>
    </sheetView>
  </sheetViews>
  <sheetFormatPr baseColWidth="10" defaultColWidth="8.81640625" defaultRowHeight="14.5" x14ac:dyDescent="0.35"/>
  <cols>
    <col min="1" max="1" width="5" customWidth="1"/>
    <col min="2" max="2" width="16" customWidth="1"/>
    <col min="3" max="3" width="32" customWidth="1"/>
    <col min="4" max="4" width="28" customWidth="1"/>
    <col min="5" max="5" width="12" customWidth="1"/>
    <col min="6" max="6" width="26" customWidth="1"/>
    <col min="7" max="7" width="30" customWidth="1"/>
    <col min="8" max="8" width="16" customWidth="1"/>
  </cols>
  <sheetData>
    <row r="1" spans="1:8" ht="32" customHeight="1" x14ac:dyDescent="0.35">
      <c r="A1" s="23" t="s">
        <v>16</v>
      </c>
      <c r="B1" s="22"/>
      <c r="C1" s="22"/>
      <c r="D1" s="22"/>
      <c r="E1" s="22"/>
      <c r="F1" s="22"/>
      <c r="G1" s="22"/>
      <c r="H1" s="22"/>
    </row>
    <row r="2" spans="1:8" ht="16" customHeight="1" x14ac:dyDescent="0.35">
      <c r="A2" s="21" t="s">
        <v>17</v>
      </c>
      <c r="B2" s="22"/>
      <c r="C2" s="22"/>
      <c r="D2" s="22"/>
      <c r="E2" s="22"/>
      <c r="F2" s="22"/>
      <c r="G2" s="22"/>
      <c r="H2" s="22"/>
    </row>
    <row r="3" spans="1:8" ht="32" customHeight="1" x14ac:dyDescent="0.35">
      <c r="A3" s="8" t="s">
        <v>18</v>
      </c>
      <c r="B3" s="8" t="s">
        <v>19</v>
      </c>
      <c r="C3" s="8" t="s">
        <v>20</v>
      </c>
      <c r="D3" s="8" t="s">
        <v>109</v>
      </c>
      <c r="E3" s="8" t="s">
        <v>21</v>
      </c>
      <c r="F3" s="8" t="s">
        <v>22</v>
      </c>
      <c r="G3" s="8" t="s">
        <v>23</v>
      </c>
      <c r="H3" s="8" t="s">
        <v>24</v>
      </c>
    </row>
    <row r="4" spans="1:8" ht="42" customHeight="1" x14ac:dyDescent="0.35">
      <c r="A4" s="2">
        <v>1</v>
      </c>
      <c r="B4" s="3" t="s">
        <v>39</v>
      </c>
      <c r="C4" s="3" t="s">
        <v>110</v>
      </c>
      <c r="D4" s="3" t="s">
        <v>114</v>
      </c>
      <c r="E4" s="4">
        <v>3</v>
      </c>
      <c r="F4" s="36" t="s">
        <v>112</v>
      </c>
      <c r="G4" s="3" t="s">
        <v>111</v>
      </c>
      <c r="H4" s="3" t="s">
        <v>113</v>
      </c>
    </row>
    <row r="5" spans="1:8" ht="42" customHeight="1" x14ac:dyDescent="0.35">
      <c r="A5" s="5">
        <v>2</v>
      </c>
      <c r="B5" s="3" t="s">
        <v>43</v>
      </c>
      <c r="C5" s="1" t="s">
        <v>115</v>
      </c>
      <c r="D5" s="3" t="s">
        <v>114</v>
      </c>
      <c r="E5" s="6">
        <v>3</v>
      </c>
      <c r="F5" s="36" t="s">
        <v>112</v>
      </c>
      <c r="G5" s="1" t="s">
        <v>116</v>
      </c>
      <c r="H5" s="1" t="s">
        <v>113</v>
      </c>
    </row>
    <row r="6" spans="1:8" ht="42" customHeight="1" x14ac:dyDescent="0.35">
      <c r="A6" s="2">
        <v>3</v>
      </c>
      <c r="B6" s="3" t="s">
        <v>41</v>
      </c>
      <c r="C6" s="3" t="s">
        <v>117</v>
      </c>
      <c r="D6" s="3" t="s">
        <v>114</v>
      </c>
      <c r="E6" s="4">
        <v>3</v>
      </c>
      <c r="F6" s="37" t="s">
        <v>118</v>
      </c>
      <c r="G6" s="3" t="s">
        <v>119</v>
      </c>
      <c r="H6" s="3" t="s">
        <v>113</v>
      </c>
    </row>
    <row r="7" spans="1:8" ht="42" customHeight="1" x14ac:dyDescent="0.35">
      <c r="A7" s="5">
        <v>4</v>
      </c>
      <c r="B7" s="3" t="s">
        <v>43</v>
      </c>
      <c r="C7" s="1" t="s">
        <v>120</v>
      </c>
      <c r="D7" s="1" t="s">
        <v>114</v>
      </c>
      <c r="E7" s="6">
        <v>1</v>
      </c>
      <c r="F7" s="37" t="s">
        <v>121</v>
      </c>
      <c r="G7" s="1" t="s">
        <v>122</v>
      </c>
      <c r="H7" s="1" t="s">
        <v>113</v>
      </c>
    </row>
    <row r="8" spans="1:8" ht="42" customHeight="1" x14ac:dyDescent="0.35">
      <c r="A8" s="2">
        <v>5</v>
      </c>
      <c r="B8" s="3" t="s">
        <v>38</v>
      </c>
      <c r="C8" s="3" t="s">
        <v>125</v>
      </c>
      <c r="D8" s="1" t="s">
        <v>114</v>
      </c>
      <c r="E8" s="4">
        <v>2</v>
      </c>
      <c r="F8" s="39" t="s">
        <v>123</v>
      </c>
      <c r="G8" s="3" t="s">
        <v>124</v>
      </c>
      <c r="H8" s="3" t="s">
        <v>113</v>
      </c>
    </row>
    <row r="9" spans="1:8" ht="42" customHeight="1" x14ac:dyDescent="0.35">
      <c r="A9" s="5">
        <v>6</v>
      </c>
      <c r="B9" s="3" t="s">
        <v>45</v>
      </c>
      <c r="C9" s="1" t="s">
        <v>127</v>
      </c>
      <c r="D9" s="1" t="s">
        <v>128</v>
      </c>
      <c r="E9" s="6">
        <v>1</v>
      </c>
      <c r="F9" s="38" t="s">
        <v>126</v>
      </c>
      <c r="G9" s="1" t="s">
        <v>129</v>
      </c>
      <c r="H9" s="1" t="s">
        <v>113</v>
      </c>
    </row>
    <row r="10" spans="1:8" ht="42" customHeight="1" x14ac:dyDescent="0.35">
      <c r="A10" s="2">
        <v>7</v>
      </c>
      <c r="B10" s="3" t="s">
        <v>39</v>
      </c>
      <c r="C10" s="3" t="s">
        <v>130</v>
      </c>
      <c r="D10" s="1" t="s">
        <v>128</v>
      </c>
      <c r="E10" s="4">
        <v>1</v>
      </c>
      <c r="F10" s="39" t="s">
        <v>131</v>
      </c>
      <c r="G10" s="3" t="s">
        <v>132</v>
      </c>
      <c r="H10" s="3" t="s">
        <v>113</v>
      </c>
    </row>
    <row r="11" spans="1:8" ht="42" customHeight="1" x14ac:dyDescent="0.35">
      <c r="A11" s="5">
        <v>8</v>
      </c>
      <c r="B11" s="3" t="s">
        <v>41</v>
      </c>
      <c r="C11" s="1" t="s">
        <v>133</v>
      </c>
      <c r="D11" s="1" t="s">
        <v>128</v>
      </c>
      <c r="E11" s="6">
        <v>1</v>
      </c>
      <c r="F11" s="38" t="s">
        <v>134</v>
      </c>
      <c r="G11" s="1" t="s">
        <v>135</v>
      </c>
      <c r="H11" s="1" t="s">
        <v>113</v>
      </c>
    </row>
    <row r="12" spans="1:8" ht="42" customHeight="1" x14ac:dyDescent="0.35">
      <c r="A12" s="2">
        <v>9</v>
      </c>
      <c r="B12" s="3" t="s">
        <v>42</v>
      </c>
      <c r="C12" s="3" t="s">
        <v>136</v>
      </c>
      <c r="D12" s="1" t="s">
        <v>137</v>
      </c>
      <c r="E12" s="4">
        <v>3</v>
      </c>
      <c r="F12" s="39" t="s">
        <v>139</v>
      </c>
      <c r="G12" s="3" t="s">
        <v>138</v>
      </c>
      <c r="H12" s="3" t="s">
        <v>113</v>
      </c>
    </row>
    <row r="13" spans="1:8" ht="42" customHeight="1" x14ac:dyDescent="0.35">
      <c r="A13" s="5">
        <v>10</v>
      </c>
      <c r="B13" s="3" t="s">
        <v>45</v>
      </c>
      <c r="C13" s="1" t="s">
        <v>140</v>
      </c>
      <c r="D13" s="1" t="s">
        <v>137</v>
      </c>
      <c r="E13" s="6">
        <v>1</v>
      </c>
      <c r="F13" s="38" t="s">
        <v>141</v>
      </c>
      <c r="G13" s="1" t="s">
        <v>142</v>
      </c>
      <c r="H13" s="1" t="s">
        <v>113</v>
      </c>
    </row>
    <row r="14" spans="1:8" ht="42" customHeight="1" x14ac:dyDescent="0.35">
      <c r="A14" s="2">
        <v>11</v>
      </c>
      <c r="B14" s="3" t="s">
        <v>45</v>
      </c>
      <c r="C14" s="3" t="s">
        <v>143</v>
      </c>
      <c r="D14" s="1" t="s">
        <v>137</v>
      </c>
      <c r="E14" s="4">
        <v>1</v>
      </c>
      <c r="F14" s="39" t="s">
        <v>144</v>
      </c>
      <c r="G14" s="3" t="s">
        <v>145</v>
      </c>
      <c r="H14" s="3" t="s">
        <v>113</v>
      </c>
    </row>
    <row r="15" spans="1:8" ht="42" customHeight="1" x14ac:dyDescent="0.35">
      <c r="A15" s="5">
        <v>12</v>
      </c>
      <c r="B15" s="3"/>
      <c r="C15" s="1"/>
      <c r="D15" s="1"/>
      <c r="E15" s="6"/>
      <c r="F15" s="1"/>
      <c r="G15" s="1"/>
      <c r="H15" s="1"/>
    </row>
    <row r="16" spans="1:8" ht="42" customHeight="1" x14ac:dyDescent="0.35">
      <c r="A16" s="2">
        <v>13</v>
      </c>
      <c r="B16" s="3"/>
      <c r="C16" s="3"/>
      <c r="D16" s="3"/>
      <c r="E16" s="4"/>
      <c r="F16" s="3"/>
      <c r="G16" s="3"/>
      <c r="H16" s="3"/>
    </row>
    <row r="17" spans="1:8" ht="42" customHeight="1" x14ac:dyDescent="0.35">
      <c r="A17" s="5">
        <v>14</v>
      </c>
      <c r="B17" s="3"/>
      <c r="C17" s="1"/>
      <c r="D17" s="1"/>
      <c r="E17" s="6"/>
      <c r="F17" s="1"/>
      <c r="G17" s="1"/>
      <c r="H17" s="1"/>
    </row>
    <row r="18" spans="1:8" ht="42" customHeight="1" x14ac:dyDescent="0.35">
      <c r="A18" s="2">
        <v>15</v>
      </c>
      <c r="B18" s="3"/>
      <c r="C18" s="3"/>
      <c r="D18" s="3"/>
      <c r="E18" s="4"/>
      <c r="F18" s="3"/>
      <c r="G18" s="3"/>
      <c r="H18" s="3"/>
    </row>
    <row r="19" spans="1:8" ht="42" customHeight="1" x14ac:dyDescent="0.35">
      <c r="A19" s="5">
        <v>16</v>
      </c>
      <c r="B19" s="3"/>
      <c r="C19" s="1"/>
      <c r="D19" s="1"/>
      <c r="E19" s="6"/>
      <c r="F19" s="1"/>
      <c r="G19" s="1"/>
      <c r="H19" s="1"/>
    </row>
    <row r="20" spans="1:8" ht="42" customHeight="1" x14ac:dyDescent="0.35">
      <c r="A20" s="2">
        <v>17</v>
      </c>
      <c r="B20" s="3"/>
      <c r="C20" s="3"/>
      <c r="D20" s="3"/>
      <c r="E20" s="4"/>
      <c r="F20" s="3"/>
      <c r="G20" s="3"/>
      <c r="H20" s="3"/>
    </row>
    <row r="21" spans="1:8" ht="42" customHeight="1" x14ac:dyDescent="0.35">
      <c r="A21" s="5">
        <v>18</v>
      </c>
      <c r="B21" s="3"/>
      <c r="C21" s="1"/>
      <c r="D21" s="1"/>
      <c r="E21" s="6"/>
      <c r="F21" s="1"/>
      <c r="G21" s="1"/>
      <c r="H21" s="1"/>
    </row>
    <row r="22" spans="1:8" ht="42" customHeight="1" x14ac:dyDescent="0.35">
      <c r="A22" s="2">
        <v>19</v>
      </c>
      <c r="B22" s="3"/>
      <c r="C22" s="3"/>
      <c r="D22" s="3"/>
      <c r="E22" s="4"/>
      <c r="F22" s="3"/>
      <c r="G22" s="3"/>
      <c r="H22" s="3"/>
    </row>
    <row r="23" spans="1:8" ht="42" customHeight="1" x14ac:dyDescent="0.35">
      <c r="A23" s="5">
        <v>20</v>
      </c>
      <c r="B23" s="3"/>
      <c r="C23" s="1"/>
      <c r="D23" s="1"/>
      <c r="E23" s="6"/>
      <c r="F23" s="1"/>
      <c r="G23" s="1"/>
      <c r="H23" s="1"/>
    </row>
    <row r="24" spans="1:8" ht="42" customHeight="1" x14ac:dyDescent="0.35">
      <c r="A24" s="2">
        <v>21</v>
      </c>
      <c r="B24" s="3"/>
      <c r="C24" s="3"/>
      <c r="D24" s="3"/>
      <c r="E24" s="4"/>
      <c r="F24" s="3"/>
      <c r="G24" s="3"/>
      <c r="H24" s="3"/>
    </row>
    <row r="25" spans="1:8" ht="42" customHeight="1" x14ac:dyDescent="0.35">
      <c r="A25" s="5">
        <v>22</v>
      </c>
      <c r="B25" s="3"/>
      <c r="C25" s="1"/>
      <c r="D25" s="1"/>
      <c r="E25" s="6"/>
      <c r="F25" s="1"/>
      <c r="G25" s="1"/>
      <c r="H25" s="1"/>
    </row>
    <row r="26" spans="1:8" ht="42" customHeight="1" x14ac:dyDescent="0.35">
      <c r="A26" s="2">
        <v>23</v>
      </c>
      <c r="B26" s="3"/>
      <c r="C26" s="3"/>
      <c r="D26" s="3"/>
      <c r="E26" s="4"/>
      <c r="F26" s="3"/>
      <c r="G26" s="3"/>
      <c r="H26" s="3"/>
    </row>
    <row r="27" spans="1:8" ht="42" customHeight="1" x14ac:dyDescent="0.35">
      <c r="A27" s="5">
        <v>24</v>
      </c>
      <c r="B27" s="3"/>
      <c r="C27" s="1"/>
      <c r="D27" s="1"/>
      <c r="E27" s="6"/>
      <c r="F27" s="1"/>
      <c r="G27" s="1"/>
      <c r="H27" s="1"/>
    </row>
    <row r="28" spans="1:8" ht="42" customHeight="1" x14ac:dyDescent="0.35">
      <c r="A28" s="2">
        <v>25</v>
      </c>
      <c r="B28" s="3"/>
      <c r="C28" s="3"/>
      <c r="D28" s="3"/>
      <c r="E28" s="4"/>
      <c r="F28" s="3"/>
      <c r="G28" s="3"/>
      <c r="H28" s="3"/>
    </row>
  </sheetData>
  <mergeCells count="2">
    <mergeCell ref="A2:H2"/>
    <mergeCell ref="A1:H1"/>
  </mergeCells>
  <conditionalFormatting sqref="E4:E28">
    <cfRule type="cellIs" dxfId="7" priority="1" operator="equal">
      <formula>0</formula>
    </cfRule>
    <cfRule type="cellIs" dxfId="6" priority="2" operator="equal">
      <formula>1</formula>
    </cfRule>
    <cfRule type="cellIs" dxfId="5" priority="3" operator="equal">
      <formula>2</formula>
    </cfRule>
    <cfRule type="cellIs" dxfId="4" priority="4" operator="equal">
      <formula>3</formula>
    </cfRule>
    <cfRule type="cellIs" dxfId="3" priority="5" operator="equal">
      <formula>4</formula>
    </cfRule>
  </conditionalFormatting>
  <dataValidations count="1">
    <dataValidation type="whole" allowBlank="1" showInputMessage="1" showErrorMessage="1" errorTitle="Severidad invalida" error="Ingrese un numero entre 0 y 4." promptTitle="Escala de severidad" prompt="0=No problema  1=Cosmético  2=Menor  3=Mayor  4=Catastrófico" sqref="E4:E28" xr:uid="{00000000-0002-0000-0100-000001000000}">
      <formula1>0</formula1>
      <formula2>4</formula2>
    </dataValidation>
  </dataValidations>
  <hyperlinks>
    <hyperlink ref="F4" r:id="rId1" xr:uid="{ECB939BD-401C-49F0-9B62-621E15F51B5E}"/>
    <hyperlink ref="F5" r:id="rId2" xr:uid="{1CD12D4D-3CF4-49A1-AF09-02C3971F9A68}"/>
    <hyperlink ref="F6" r:id="rId3" xr:uid="{D0080D52-EF70-40A8-B841-AE8FDA61F717}"/>
    <hyperlink ref="F7" r:id="rId4" xr:uid="{62D42262-9A1F-4A41-89EC-C6DCC973B343}"/>
    <hyperlink ref="F8" r:id="rId5" xr:uid="{C4D83D76-FF9B-4192-A8E7-43719AB66019}"/>
    <hyperlink ref="F9" r:id="rId6" xr:uid="{27BD09A3-DBA1-42CA-9D7B-F8B6C9FBF79E}"/>
    <hyperlink ref="F10" r:id="rId7" xr:uid="{2AB211FC-93C7-4DA5-A484-716098AAC4B8}"/>
    <hyperlink ref="F11" r:id="rId8" xr:uid="{AE4D129D-08B5-4092-88A6-9787F54FF1FB}"/>
    <hyperlink ref="F12" r:id="rId9" xr:uid="{D8CB7EF0-B2C1-4C08-ACFA-D42745EAB779}"/>
    <hyperlink ref="F13" r:id="rId10" xr:uid="{0942127F-04A5-4DB0-8E73-4F80015977BC}"/>
    <hyperlink ref="F14" r:id="rId11" xr:uid="{AC1ECD35-33D7-49E2-B46F-BD79A1A24912}"/>
  </hyperlinks>
  <pageMargins left="0.75" right="0.75" top="1" bottom="1" header="0.5" footer="0.5"/>
  <pageSetup paperSize="9" orientation="portrait" r:id="rId1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invalido" error="Seleccione una heuristica de la lista." xr:uid="{E2509D21-85F4-4A79-AB87-39F88D5376DE}">
          <x14:formula1>
            <xm:f>Resumen!$B$13:$B$22</xm:f>
          </x14:formula1>
          <xm:sqref>B4:B28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2"/>
  <sheetViews>
    <sheetView showGridLines="0" workbookViewId="0">
      <selection activeCell="B22" sqref="B22"/>
    </sheetView>
  </sheetViews>
  <sheetFormatPr baseColWidth="10" defaultColWidth="8.81640625" defaultRowHeight="14.5" x14ac:dyDescent="0.35"/>
  <cols>
    <col min="1" max="1" width="3" customWidth="1"/>
    <col min="2" max="2" width="29.54296875" bestFit="1" customWidth="1"/>
    <col min="3" max="5" width="14" customWidth="1"/>
    <col min="6" max="6" width="18" customWidth="1"/>
    <col min="7" max="7" width="20" customWidth="1"/>
  </cols>
  <sheetData>
    <row r="1" spans="2:7" ht="32" customHeight="1" x14ac:dyDescent="0.35">
      <c r="B1" s="23" t="s">
        <v>108</v>
      </c>
      <c r="C1" s="22"/>
      <c r="D1" s="22"/>
      <c r="E1" s="22"/>
      <c r="F1" s="22"/>
      <c r="G1" s="22"/>
    </row>
    <row r="2" spans="2:7" ht="16" customHeight="1" x14ac:dyDescent="0.35">
      <c r="B2" s="21" t="s">
        <v>25</v>
      </c>
      <c r="C2" s="22"/>
      <c r="D2" s="22"/>
      <c r="E2" s="22"/>
      <c r="F2" s="22"/>
      <c r="G2" s="22"/>
    </row>
    <row r="4" spans="2:7" ht="18" customHeight="1" x14ac:dyDescent="0.35">
      <c r="B4" s="31" t="s">
        <v>26</v>
      </c>
      <c r="C4" s="32"/>
      <c r="D4" s="32"/>
      <c r="E4" s="32"/>
      <c r="F4" s="32"/>
      <c r="G4" s="32"/>
    </row>
    <row r="5" spans="2:7" ht="22" customHeight="1" x14ac:dyDescent="0.35">
      <c r="B5" s="9" t="s">
        <v>27</v>
      </c>
      <c r="C5" s="33">
        <f>COUNTA(Evaluacion!C4:C28)</f>
        <v>11</v>
      </c>
      <c r="D5" s="25"/>
    </row>
    <row r="6" spans="2:7" ht="22" customHeight="1" x14ac:dyDescent="0.35">
      <c r="B6" s="9" t="s">
        <v>28</v>
      </c>
      <c r="C6" s="35">
        <f>IFERROR(AVERAGE(Evaluacion!E4:E28),0)</f>
        <v>1.8181818181818181</v>
      </c>
      <c r="D6" s="25"/>
    </row>
    <row r="7" spans="2:7" ht="22" customHeight="1" x14ac:dyDescent="0.35">
      <c r="B7" s="9" t="s">
        <v>29</v>
      </c>
      <c r="C7" s="33">
        <f>COUNTIF(Evaluacion!E4:E28,4)</f>
        <v>0</v>
      </c>
      <c r="D7" s="25"/>
    </row>
    <row r="8" spans="2:7" ht="22" customHeight="1" x14ac:dyDescent="0.35">
      <c r="B8" s="9" t="s">
        <v>30</v>
      </c>
      <c r="C8" s="33">
        <f>COUNTIF(Evaluacion!E4:E28,3)</f>
        <v>4</v>
      </c>
      <c r="D8" s="25"/>
    </row>
    <row r="9" spans="2:7" ht="22" customHeight="1" x14ac:dyDescent="0.35">
      <c r="B9" s="9" t="s">
        <v>31</v>
      </c>
      <c r="C9" s="33">
        <f>COUNTIFS(Evaluacion!E4:E28,"&gt;=1",Evaluacion!E4:E28,"&lt;=2")</f>
        <v>7</v>
      </c>
      <c r="D9" s="25"/>
    </row>
    <row r="11" spans="2:7" ht="18" customHeight="1" x14ac:dyDescent="0.35">
      <c r="B11" s="34" t="s">
        <v>32</v>
      </c>
      <c r="C11" s="22"/>
      <c r="D11" s="22"/>
      <c r="E11" s="22"/>
      <c r="F11" s="22"/>
      <c r="G11" s="22"/>
    </row>
    <row r="12" spans="2:7" ht="20" customHeight="1" x14ac:dyDescent="0.35">
      <c r="B12" s="8" t="s">
        <v>19</v>
      </c>
      <c r="C12" s="8" t="s">
        <v>33</v>
      </c>
      <c r="D12" s="8" t="s">
        <v>34</v>
      </c>
      <c r="E12" s="8" t="s">
        <v>35</v>
      </c>
      <c r="F12" s="8" t="s">
        <v>36</v>
      </c>
      <c r="G12" s="8" t="s">
        <v>37</v>
      </c>
    </row>
    <row r="13" spans="2:7" ht="20" customHeight="1" x14ac:dyDescent="0.35">
      <c r="B13" s="10" t="s">
        <v>38</v>
      </c>
      <c r="C13" s="16">
        <f>COUNTIF(Evaluacion!B4:B28,"*H1*")</f>
        <v>1</v>
      </c>
      <c r="D13" s="16">
        <f ca="1">IFERROR(_xludf.MAXIFS(Evaluacion!E4:E28,Evaluacion!B4:B28,"*H1*"),0)</f>
        <v>0</v>
      </c>
      <c r="E13" s="11">
        <f>IFERROR(AVERAGEIF(Evaluacion!B4:B28,"*H1*",Evaluacion!E4:E28),0)</f>
        <v>2</v>
      </c>
      <c r="F13" s="12" t="str">
        <f t="shared" ref="F13:F22" ca="1" si="0">IF(C13=0,"Sin problemas",IF(D13&gt;=4,"CRITICO",IF(D13&gt;=3,"MAYOR","MENOR")))</f>
        <v>MENOR</v>
      </c>
      <c r="G13" s="12" t="str">
        <f t="shared" ref="G13:G22" ca="1" si="1">IF(C13=0,"Sin problemas",IF(D13=4,"1 - Inmediata",IF(D13=3,"2 - Alta",IF(D13=2,"3 - Media","4 - Baja"))))</f>
        <v>4 - Baja</v>
      </c>
    </row>
    <row r="14" spans="2:7" ht="20" customHeight="1" x14ac:dyDescent="0.35">
      <c r="B14" s="13" t="s">
        <v>39</v>
      </c>
      <c r="C14" s="17">
        <f>COUNTIF(Evaluacion!B4:B28,"*H2*")</f>
        <v>2</v>
      </c>
      <c r="D14" s="17">
        <f ca="1">IFERROR(_xludf.MAXIFS(Evaluacion!E4:E28,Evaluacion!B4:B28,"*H2*"),0)</f>
        <v>0</v>
      </c>
      <c r="E14" s="14">
        <f>IFERROR(AVERAGEIF(Evaluacion!B4:B28,"*H2*",Evaluacion!E4:E28),0)</f>
        <v>2</v>
      </c>
      <c r="F14" s="15" t="str">
        <f t="shared" ca="1" si="0"/>
        <v>MENOR</v>
      </c>
      <c r="G14" s="15" t="str">
        <f t="shared" ca="1" si="1"/>
        <v>4 - Baja</v>
      </c>
    </row>
    <row r="15" spans="2:7" ht="20" customHeight="1" x14ac:dyDescent="0.35">
      <c r="B15" s="10" t="s">
        <v>40</v>
      </c>
      <c r="C15" s="16">
        <f>COUNTIF(Evaluacion!B4:B28,"*H3*")</f>
        <v>0</v>
      </c>
      <c r="D15" s="16">
        <f ca="1">IFERROR(_xludf.MAXIFS(Evaluacion!E4:E28,Evaluacion!B4:B28,"*H3*"),0)</f>
        <v>0</v>
      </c>
      <c r="E15" s="11">
        <f>IFERROR(AVERAGEIF(Evaluacion!B4:B28,"*H3*",Evaluacion!E4:E28),0)</f>
        <v>0</v>
      </c>
      <c r="F15" s="12" t="str">
        <f t="shared" si="0"/>
        <v>Sin problemas</v>
      </c>
      <c r="G15" s="12" t="str">
        <f t="shared" si="1"/>
        <v>Sin problemas</v>
      </c>
    </row>
    <row r="16" spans="2:7" ht="20" customHeight="1" x14ac:dyDescent="0.35">
      <c r="B16" s="13" t="s">
        <v>41</v>
      </c>
      <c r="C16" s="17">
        <f>COUNTIF(Evaluacion!B4:B28,"*H4*")</f>
        <v>2</v>
      </c>
      <c r="D16" s="17">
        <f ca="1">IFERROR(_xludf.MAXIFS(Evaluacion!E4:E28,Evaluacion!B4:B28,"*H4*"),0)</f>
        <v>0</v>
      </c>
      <c r="E16" s="14">
        <f>IFERROR(AVERAGEIF(Evaluacion!B4:B28,"*H4*",Evaluacion!E4:E28),0)</f>
        <v>2</v>
      </c>
      <c r="F16" s="15" t="str">
        <f t="shared" ca="1" si="0"/>
        <v>MENOR</v>
      </c>
      <c r="G16" s="15" t="str">
        <f t="shared" ca="1" si="1"/>
        <v>4 - Baja</v>
      </c>
    </row>
    <row r="17" spans="2:7" ht="20" customHeight="1" x14ac:dyDescent="0.35">
      <c r="B17" s="10" t="s">
        <v>42</v>
      </c>
      <c r="C17" s="16">
        <f>COUNTIF(Evaluacion!B4:B28,"*H5*")</f>
        <v>1</v>
      </c>
      <c r="D17" s="16">
        <f ca="1">IFERROR(_xludf.MAXIFS(Evaluacion!E4:E28,Evaluacion!B4:B28,"*H5*"),0)</f>
        <v>0</v>
      </c>
      <c r="E17" s="11">
        <f>IFERROR(AVERAGEIF(Evaluacion!B4:B28,"*H5*",Evaluacion!E4:E28),0)</f>
        <v>3</v>
      </c>
      <c r="F17" s="12" t="str">
        <f t="shared" ca="1" si="0"/>
        <v>MENOR</v>
      </c>
      <c r="G17" s="12" t="str">
        <f t="shared" ca="1" si="1"/>
        <v>4 - Baja</v>
      </c>
    </row>
    <row r="18" spans="2:7" ht="20" customHeight="1" x14ac:dyDescent="0.35">
      <c r="B18" s="13" t="s">
        <v>43</v>
      </c>
      <c r="C18" s="17">
        <f>COUNTIF(Evaluacion!B4:B28,"*H6*")</f>
        <v>2</v>
      </c>
      <c r="D18" s="17">
        <f ca="1">IFERROR(_xludf.MAXIFS(Evaluacion!E4:E28,Evaluacion!B4:B28,"*H6*"),0)</f>
        <v>0</v>
      </c>
      <c r="E18" s="14">
        <f>IFERROR(AVERAGEIF(Evaluacion!B4:B28,"*H6*",Evaluacion!E4:E28),0)</f>
        <v>2</v>
      </c>
      <c r="F18" s="15" t="str">
        <f t="shared" ca="1" si="0"/>
        <v>MENOR</v>
      </c>
      <c r="G18" s="15" t="str">
        <f t="shared" ca="1" si="1"/>
        <v>4 - Baja</v>
      </c>
    </row>
    <row r="19" spans="2:7" ht="20" customHeight="1" x14ac:dyDescent="0.35">
      <c r="B19" s="10" t="s">
        <v>44</v>
      </c>
      <c r="C19" s="16">
        <f>COUNTIF(Evaluacion!B4:B28,"*H7*")</f>
        <v>0</v>
      </c>
      <c r="D19" s="16">
        <f ca="1">IFERROR(_xludf.MAXIFS(Evaluacion!E4:E28,Evaluacion!B4:B28,"*H7*"),0)</f>
        <v>0</v>
      </c>
      <c r="E19" s="11">
        <f>IFERROR(AVERAGEIF(Evaluacion!B4:B28,"*H7*",Evaluacion!E4:E28),0)</f>
        <v>0</v>
      </c>
      <c r="F19" s="12" t="str">
        <f t="shared" si="0"/>
        <v>Sin problemas</v>
      </c>
      <c r="G19" s="12" t="str">
        <f t="shared" si="1"/>
        <v>Sin problemas</v>
      </c>
    </row>
    <row r="20" spans="2:7" ht="20" customHeight="1" x14ac:dyDescent="0.35">
      <c r="B20" s="13" t="s">
        <v>45</v>
      </c>
      <c r="C20" s="17">
        <f>COUNTIF(Evaluacion!B4:B28,"*H8*")</f>
        <v>3</v>
      </c>
      <c r="D20" s="17">
        <f ca="1">IFERROR(_xludf.MAXIFS(Evaluacion!E4:E28,Evaluacion!B4:B28,"*H8*"),0)</f>
        <v>0</v>
      </c>
      <c r="E20" s="14">
        <f>IFERROR(AVERAGEIF(Evaluacion!B4:B28,"*H8*",Evaluacion!E4:E28),0)</f>
        <v>1</v>
      </c>
      <c r="F20" s="15" t="str">
        <f t="shared" ca="1" si="0"/>
        <v>MENOR</v>
      </c>
      <c r="G20" s="15" t="str">
        <f t="shared" ca="1" si="1"/>
        <v>4 - Baja</v>
      </c>
    </row>
    <row r="21" spans="2:7" ht="20" customHeight="1" x14ac:dyDescent="0.35">
      <c r="B21" s="10" t="s">
        <v>46</v>
      </c>
      <c r="C21" s="16">
        <f>COUNTIF(Evaluacion!B4:B28,"*H9*")</f>
        <v>0</v>
      </c>
      <c r="D21" s="16">
        <f ca="1">IFERROR(_xludf.MAXIFS(Evaluacion!E4:E28,Evaluacion!B4:B28,"*H9*"),0)</f>
        <v>0</v>
      </c>
      <c r="E21" s="11">
        <f>IFERROR(AVERAGEIF(Evaluacion!B4:B28,"*H9*",Evaluacion!E4:E28),0)</f>
        <v>0</v>
      </c>
      <c r="F21" s="12" t="str">
        <f t="shared" si="0"/>
        <v>Sin problemas</v>
      </c>
      <c r="G21" s="12" t="str">
        <f t="shared" si="1"/>
        <v>Sin problemas</v>
      </c>
    </row>
    <row r="22" spans="2:7" ht="20" customHeight="1" x14ac:dyDescent="0.35">
      <c r="B22" s="13" t="s">
        <v>47</v>
      </c>
      <c r="C22" s="17">
        <f>COUNTIF(Evaluacion!B4:B28,"*H10*")</f>
        <v>0</v>
      </c>
      <c r="D22" s="17">
        <f ca="1">IFERROR(_xludf.MAXIFS(Evaluacion!E4:E28,Evaluacion!B4:B28,"*H10*"),0)</f>
        <v>0</v>
      </c>
      <c r="E22" s="14">
        <f>IFERROR(AVERAGEIF(Evaluacion!B4:B28,"*H10*",Evaluacion!E4:E28),0)</f>
        <v>0</v>
      </c>
      <c r="F22" s="15" t="str">
        <f t="shared" si="0"/>
        <v>Sin problemas</v>
      </c>
      <c r="G22" s="15" t="str">
        <f t="shared" si="1"/>
        <v>Sin problemas</v>
      </c>
    </row>
  </sheetData>
  <mergeCells count="9">
    <mergeCell ref="B1:G1"/>
    <mergeCell ref="B4:G4"/>
    <mergeCell ref="C9:D9"/>
    <mergeCell ref="C8:D8"/>
    <mergeCell ref="B11:G11"/>
    <mergeCell ref="B2:G2"/>
    <mergeCell ref="C6:D6"/>
    <mergeCell ref="C7:D7"/>
    <mergeCell ref="C5:D5"/>
  </mergeCells>
  <conditionalFormatting sqref="F13:F22">
    <cfRule type="cellIs" dxfId="2" priority="1" operator="equal">
      <formula>"CRITICO"</formula>
    </cfRule>
    <cfRule type="cellIs" dxfId="1" priority="2" operator="equal">
      <formula>"MAYOR"</formula>
    </cfRule>
    <cfRule type="cellIs" dxfId="0" priority="3" operator="equal">
      <formula>"Sin problemas"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3"/>
  <sheetViews>
    <sheetView showGridLines="0" workbookViewId="0">
      <selection activeCell="B13" sqref="B13"/>
    </sheetView>
  </sheetViews>
  <sheetFormatPr baseColWidth="10" defaultColWidth="8.81640625" defaultRowHeight="14.5" x14ac:dyDescent="0.35"/>
  <cols>
    <col min="1" max="1" width="3" customWidth="1"/>
    <col min="2" max="2" width="7" customWidth="1"/>
    <col min="3" max="3" width="26" customWidth="1"/>
    <col min="4" max="4" width="38" customWidth="1"/>
    <col min="5" max="5" width="32" customWidth="1"/>
    <col min="6" max="6" width="28" customWidth="1"/>
  </cols>
  <sheetData>
    <row r="1" spans="2:6" ht="32" customHeight="1" x14ac:dyDescent="0.35">
      <c r="B1" s="23" t="s">
        <v>48</v>
      </c>
      <c r="C1" s="22"/>
      <c r="D1" s="22"/>
      <c r="E1" s="22"/>
      <c r="F1" s="22"/>
    </row>
    <row r="2" spans="2:6" ht="16" customHeight="1" x14ac:dyDescent="0.35">
      <c r="B2" s="21" t="s">
        <v>49</v>
      </c>
      <c r="C2" s="22"/>
      <c r="D2" s="22"/>
      <c r="E2" s="22"/>
      <c r="F2" s="22"/>
    </row>
    <row r="3" spans="2:6" ht="22" customHeight="1" x14ac:dyDescent="0.35">
      <c r="B3" s="8" t="s">
        <v>18</v>
      </c>
      <c r="C3" s="8" t="s">
        <v>19</v>
      </c>
      <c r="D3" s="8" t="s">
        <v>50</v>
      </c>
      <c r="E3" s="8" t="s">
        <v>51</v>
      </c>
      <c r="F3" s="8" t="s">
        <v>52</v>
      </c>
    </row>
    <row r="4" spans="2:6" ht="58" customHeight="1" x14ac:dyDescent="0.35">
      <c r="B4" s="18" t="s">
        <v>53</v>
      </c>
      <c r="C4" s="19" t="s">
        <v>54</v>
      </c>
      <c r="D4" s="20" t="s">
        <v>55</v>
      </c>
      <c r="E4" s="20" t="s">
        <v>56</v>
      </c>
      <c r="F4" s="20" t="s">
        <v>57</v>
      </c>
    </row>
    <row r="5" spans="2:6" ht="58" customHeight="1" x14ac:dyDescent="0.35">
      <c r="B5" s="18" t="s">
        <v>58</v>
      </c>
      <c r="C5" s="19" t="s">
        <v>59</v>
      </c>
      <c r="D5" s="20" t="s">
        <v>60</v>
      </c>
      <c r="E5" s="20" t="s">
        <v>61</v>
      </c>
      <c r="F5" s="20" t="s">
        <v>62</v>
      </c>
    </row>
    <row r="6" spans="2:6" ht="58" customHeight="1" x14ac:dyDescent="0.35">
      <c r="B6" s="18" t="s">
        <v>63</v>
      </c>
      <c r="C6" s="19" t="s">
        <v>64</v>
      </c>
      <c r="D6" s="20" t="s">
        <v>65</v>
      </c>
      <c r="E6" s="20" t="s">
        <v>66</v>
      </c>
      <c r="F6" s="20" t="s">
        <v>67</v>
      </c>
    </row>
    <row r="7" spans="2:6" ht="58" customHeight="1" x14ac:dyDescent="0.35">
      <c r="B7" s="18" t="s">
        <v>68</v>
      </c>
      <c r="C7" s="19" t="s">
        <v>69</v>
      </c>
      <c r="D7" s="20" t="s">
        <v>70</v>
      </c>
      <c r="E7" s="20" t="s">
        <v>71</v>
      </c>
      <c r="F7" s="20" t="s">
        <v>72</v>
      </c>
    </row>
    <row r="8" spans="2:6" ht="58" customHeight="1" x14ac:dyDescent="0.35">
      <c r="B8" s="18" t="s">
        <v>73</v>
      </c>
      <c r="C8" s="19" t="s">
        <v>74</v>
      </c>
      <c r="D8" s="20" t="s">
        <v>75</v>
      </c>
      <c r="E8" s="20" t="s">
        <v>76</v>
      </c>
      <c r="F8" s="20" t="s">
        <v>77</v>
      </c>
    </row>
    <row r="9" spans="2:6" ht="58" customHeight="1" x14ac:dyDescent="0.35">
      <c r="B9" s="18" t="s">
        <v>78</v>
      </c>
      <c r="C9" s="19" t="s">
        <v>79</v>
      </c>
      <c r="D9" s="20" t="s">
        <v>80</v>
      </c>
      <c r="E9" s="20" t="s">
        <v>81</v>
      </c>
      <c r="F9" s="20" t="s">
        <v>82</v>
      </c>
    </row>
    <row r="10" spans="2:6" ht="58" customHeight="1" x14ac:dyDescent="0.35">
      <c r="B10" s="18" t="s">
        <v>83</v>
      </c>
      <c r="C10" s="19" t="s">
        <v>84</v>
      </c>
      <c r="D10" s="20" t="s">
        <v>85</v>
      </c>
      <c r="E10" s="20" t="s">
        <v>86</v>
      </c>
      <c r="F10" s="20" t="s">
        <v>87</v>
      </c>
    </row>
    <row r="11" spans="2:6" ht="58" customHeight="1" x14ac:dyDescent="0.35">
      <c r="B11" s="18" t="s">
        <v>88</v>
      </c>
      <c r="C11" s="19" t="s">
        <v>89</v>
      </c>
      <c r="D11" s="20" t="s">
        <v>90</v>
      </c>
      <c r="E11" s="20" t="s">
        <v>91</v>
      </c>
      <c r="F11" s="20" t="s">
        <v>92</v>
      </c>
    </row>
    <row r="12" spans="2:6" ht="58" customHeight="1" x14ac:dyDescent="0.35">
      <c r="B12" s="18" t="s">
        <v>93</v>
      </c>
      <c r="C12" s="19" t="s">
        <v>94</v>
      </c>
      <c r="D12" s="20" t="s">
        <v>95</v>
      </c>
      <c r="E12" s="20" t="s">
        <v>96</v>
      </c>
      <c r="F12" s="20" t="s">
        <v>97</v>
      </c>
    </row>
    <row r="13" spans="2:6" ht="58" customHeight="1" x14ac:dyDescent="0.35">
      <c r="B13" s="18" t="s">
        <v>98</v>
      </c>
      <c r="C13" s="19" t="s">
        <v>99</v>
      </c>
      <c r="D13" s="20" t="s">
        <v>100</v>
      </c>
      <c r="E13" s="20" t="s">
        <v>101</v>
      </c>
      <c r="F13" s="20" t="s">
        <v>102</v>
      </c>
    </row>
  </sheetData>
  <mergeCells count="2">
    <mergeCell ref="B2:F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Evaluacion</vt:lpstr>
      <vt:lpstr>Resumen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JUAN ENRIQUE CID TORRES CID TORRES</cp:lastModifiedBy>
  <dcterms:created xsi:type="dcterms:W3CDTF">2026-06-12T14:00:04Z</dcterms:created>
  <dcterms:modified xsi:type="dcterms:W3CDTF">2026-06-20T20:08:31Z</dcterms:modified>
</cp:coreProperties>
</file>