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die\Desktop\"/>
    </mc:Choice>
  </mc:AlternateContent>
  <xr:revisionPtr revIDLastSave="0" documentId="13_ncr:1_{E80CA9B8-B3E9-4B62-A5DE-699108E5C7DB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Descripcion_Campos" sheetId="1" r:id="rId1"/>
    <sheet name="Registro_Pruebas" sheetId="2" r:id="rId2"/>
    <sheet name="Resumen_Resultados" sheetId="3" r:id="rId3"/>
    <sheet name="Guia_Estado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3" l="1"/>
  <c r="B6" i="3"/>
  <c r="B5" i="3"/>
</calcChain>
</file>

<file path=xl/sharedStrings.xml><?xml version="1.0" encoding="utf-8"?>
<sst xmlns="http://schemas.openxmlformats.org/spreadsheetml/2006/main" count="172" uniqueCount="145">
  <si>
    <t>DESCRIPCION DE CAMPOS</t>
  </si>
  <si>
    <t>Campo</t>
  </si>
  <si>
    <t>Propósito</t>
  </si>
  <si>
    <t>ID</t>
  </si>
  <si>
    <t>Identificador único del caso de prueba.</t>
  </si>
  <si>
    <t>Módulo / Funcionalidad</t>
  </si>
  <si>
    <t>Parte del sistema que se está probando.</t>
  </si>
  <si>
    <t>Caso de Prueba</t>
  </si>
  <si>
    <t>Descripción breve de la prueba realizada.</t>
  </si>
  <si>
    <t>Datos de Entrada</t>
  </si>
  <si>
    <t>Información utilizada para ejecutar la prueba.</t>
  </si>
  <si>
    <t>Resultado Esperado</t>
  </si>
  <si>
    <t>Comportamiento que debería tener el sistema.</t>
  </si>
  <si>
    <t>Resultado Obtenido</t>
  </si>
  <si>
    <t>Resultado observado durante la ejecución.</t>
  </si>
  <si>
    <t>Estado</t>
  </si>
  <si>
    <t>Aprobado, Fallido o Pendiente.</t>
  </si>
  <si>
    <t>Observaciones</t>
  </si>
  <si>
    <t>Comentarios, errores encontrados o mejoras sugeridas.</t>
  </si>
  <si>
    <t>REGISTRO DE PRUEBAS</t>
  </si>
  <si>
    <t>CP-01</t>
  </si>
  <si>
    <t>Inicio de sesión</t>
  </si>
  <si>
    <t>Ingresar credenciales válidas</t>
  </si>
  <si>
    <t>usuario1 / contraseña123</t>
  </si>
  <si>
    <t>Acceso al sistema</t>
  </si>
  <si>
    <t>Acceso correcto</t>
  </si>
  <si>
    <t>Aprobado</t>
  </si>
  <si>
    <t>CP-02</t>
  </si>
  <si>
    <t>Ingresar contraseña incorrecta</t>
  </si>
  <si>
    <t>usuario1 / abc123</t>
  </si>
  <si>
    <t>Mensaje de error</t>
  </si>
  <si>
    <t>Mensaje de error mostrado</t>
  </si>
  <si>
    <t>CP-03</t>
  </si>
  <si>
    <t>Registro de usuario</t>
  </si>
  <si>
    <t>Registrar correo existente</t>
  </si>
  <si>
    <t>correo@duoc.cl</t>
  </si>
  <si>
    <t>Advertencia de usuario existente</t>
  </si>
  <si>
    <t>Permite registro</t>
  </si>
  <si>
    <t>Fallido</t>
  </si>
  <si>
    <t>Corregir validación</t>
  </si>
  <si>
    <t>CP-04</t>
  </si>
  <si>
    <t>Listar comunidades registradas en el panel</t>
  </si>
  <si>
    <t>El sistema muestra el listado completo de comunidades registradas</t>
  </si>
  <si>
    <t>CP-05</t>
  </si>
  <si>
    <t>Verificar acceso a gestión de bloque, torre y propiedad desde el panel</t>
  </si>
  <si>
    <t>El sistema permite gestionar comunidades, bloques, torres y propiedades</t>
  </si>
  <si>
    <t>Solo permite gestionar comunidades; no hay acceso a bloque, torre ni propiedad</t>
  </si>
  <si>
    <t>CP-06</t>
  </si>
  <si>
    <t>Cargar el dashboard principal al ingresar al panel</t>
  </si>
  <si>
    <t>Usuario administrador inicia sesión y accede al panel principal</t>
  </si>
  <si>
    <t>El dashboard carga sin errores y muestra las métricas generales del sistema</t>
  </si>
  <si>
    <t>CP-07</t>
  </si>
  <si>
    <t>Verificar que el dashboard muestre la información necesaria de gestores pendientes</t>
  </si>
  <si>
    <t>Usuario administrador visualiza el dashboard principal</t>
  </si>
  <si>
    <t>El dashboard despliega información de gestores pendientes por bloque, torre y propiedad</t>
  </si>
  <si>
    <t>No está presente toda la información necesaria en el panel</t>
  </si>
  <si>
    <t>CP-08</t>
  </si>
  <si>
    <t>Activar una comunidad previamente registrada</t>
  </si>
  <si>
    <t>Usuario administrador selecciona una comunidad inactiva y presiona "activar"</t>
  </si>
  <si>
    <t>La comunidad cambia su estado a activa y queda disponible en el listado</t>
  </si>
  <si>
    <t>La comunidad se activa correctamente y refleja el nuevo estado</t>
  </si>
  <si>
    <t>CP-09</t>
  </si>
  <si>
    <t>Desactivar una comunidad y verificar opción de reactivación</t>
  </si>
  <si>
    <t>Usuario administrador selecciona una comunidad activa y presiona "desactivar"</t>
  </si>
  <si>
    <t>Tras desactivar, debe mostrarse un botón "activar" para revertir la acción</t>
  </si>
  <si>
    <t>El botón "desactivar" desaparece sin opción para volver a activar la comunidad</t>
  </si>
  <si>
    <t>CP-10</t>
  </si>
  <si>
    <t>Visualizar nombre y comuna de la comunidad en el dashboard</t>
  </si>
  <si>
    <t>Usuario administrador visualiza la tarjeta de una comunidad en el dashboard</t>
  </si>
  <si>
    <t>El nombre y la comuna de la comunidad se muestran de forma completa y legible</t>
  </si>
  <si>
    <t>El nombre y la comuna se muestran correctamente sin truncamiento</t>
  </si>
  <si>
    <t>CP-11</t>
  </si>
  <si>
    <t>Verificar legibilidad del campo de dirección en el dashboard</t>
  </si>
  <si>
    <t>Usuario administrador visualiza la dirección de una comunidad en el dashboard</t>
  </si>
  <si>
    <t>La dirección completa es legible sin truncamiento excesivo</t>
  </si>
  <si>
    <t>La dirección se trunca con "…" muy pronto, dificultando su lectura</t>
  </si>
  <si>
    <t>CP-12</t>
  </si>
  <si>
    <t>Seleccionar una comunidad y acceder a su detalle</t>
  </si>
  <si>
    <t>Usuario administrador hace clic sobre una comunidad del listado</t>
  </si>
  <si>
    <t>El sistema navega al detalle de la comunidad seleccionada</t>
  </si>
  <si>
    <t>El sistema navega correctamente al detalle de la comunidad</t>
  </si>
  <si>
    <t>CP-13</t>
  </si>
  <si>
    <t>Verificar visibilidad de la jerarquía Comunidades &gt; Bloque &gt; Torre</t>
  </si>
  <si>
    <t>Usuario administrador navega entre comunidades, bloques y torres</t>
  </si>
  <si>
    <t>El sistema refleja claramente la ruta lógica y jerárquica de navegación</t>
  </si>
  <si>
    <t>El sistema no refleja la ruta lógica de forma eficiente</t>
  </si>
  <si>
    <t>CP-14</t>
  </si>
  <si>
    <t>Navegar a un módulo mediante un acceso rápido</t>
  </si>
  <si>
    <t>Usuario administrador hace clic en un acceso rápido del panel</t>
  </si>
  <si>
    <t>El sistema redirige al módulo correspondiente sin recargar la sesión</t>
  </si>
  <si>
    <t>El sistema redirige correctamente al módulo seleccionado</t>
  </si>
  <si>
    <t>CP-15</t>
  </si>
  <si>
    <t>Verificar duplicidad de accesos rápidos en el panel</t>
  </si>
  <si>
    <t>Usuario administrador visualiza el panel principal con accesos rápidos</t>
  </si>
  <si>
    <t>Los accesos rápidos se muestran una sola vez, en una única sección</t>
  </si>
  <si>
    <t>La ruta de accesos rápidos se duplica: aparece a la derecha y a la izquierda con las mismas opciones</t>
  </si>
  <si>
    <t>CP-19</t>
  </si>
  <si>
    <t>Buscar un usuario y mostrar su historial de ocupación</t>
  </si>
  <si>
    <t>Usuario administrador busca y selecciona un residente específico</t>
  </si>
  <si>
    <t>El sistema muestra el historial de ocupación correspondiente al usuario seleccionado</t>
  </si>
  <si>
    <t>El historial de ocupación se despliega correctamente para el usuario seleccionado</t>
  </si>
  <si>
    <t>CP-21</t>
  </si>
  <si>
    <t>Desplegar la información general de una torre</t>
  </si>
  <si>
    <t>Usuario administrador selecciona una torre desde el listado de bloques</t>
  </si>
  <si>
    <t>El sistema muestra correctamente los datos generales de la torre seleccionada</t>
  </si>
  <si>
    <t>Los datos generales de la torre se muestran correctamente</t>
  </si>
  <si>
    <t>RESUMEN RESULTADOS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</si>
  <si>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</si>
  <si>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</si>
  <si>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</si>
  <si>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</si>
  <si>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</si>
  <si>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</si>
  <si>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</si>
  <si>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TIPIFICACION DE ESTADOS</t>
  </si>
  <si>
    <t>Significado</t>
  </si>
  <si>
    <t>El resultado obtenido coincide con el esperado.</t>
  </si>
  <si>
    <t>Existe un error o comportamiento distinto al esperado.</t>
  </si>
  <si>
    <t>Pendiente</t>
  </si>
  <si>
    <t>La prueba aún no ha sido ejecutada.</t>
  </si>
  <si>
    <t>Listar comunidades</t>
  </si>
  <si>
    <t>Administrador</t>
  </si>
  <si>
    <t>Administrador de Comunidades</t>
  </si>
  <si>
    <t>El listado de comunidades se carga correctamente.</t>
  </si>
  <si>
    <t>Gestión de Comunidades</t>
  </si>
  <si>
    <t>El sistema está incompleto, es importante agergar esas funciones.</t>
  </si>
  <si>
    <t>Cargar el Dashboard</t>
  </si>
  <si>
    <t>El dashboard carga correctamente.</t>
  </si>
  <si>
    <t>Información del Dashboard</t>
  </si>
  <si>
    <t>Hay que agregar la información incompleta, cómo en CP--05.</t>
  </si>
  <si>
    <t>Activar una comunidad registrada anteriormente.</t>
  </si>
  <si>
    <t>Desactivar una comunidad y volver a activarla.</t>
  </si>
  <si>
    <t>Error al querer volver a activar una comunidad desactivada.</t>
  </si>
  <si>
    <t>Visualizar comunidades en el Dashboard</t>
  </si>
  <si>
    <t>Legíbilidad del Dashboard</t>
  </si>
  <si>
    <t>Se puede solucionar asignando más espacio al texto.</t>
  </si>
  <si>
    <t>Puede resultar confuso, es importante tener la jerarquía clara.</t>
  </si>
  <si>
    <t>Uso de accesos directos</t>
  </si>
  <si>
    <t>Jerarquía de la información</t>
  </si>
  <si>
    <t>Acceder a información detallada</t>
  </si>
  <si>
    <t>Usa espacio de más en la pantalla y resulta confuso.</t>
  </si>
  <si>
    <t>Despliegue de acceso directo</t>
  </si>
  <si>
    <t>Ver usuarios</t>
  </si>
  <si>
    <t>Despliegue de información sobre torre</t>
  </si>
  <si>
    <t>47.62%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</si>
</sst>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12"/>
      <color theme="1"/>
      <name val="Arial"/>
      <family val="2"/>
      <charset val="1"/>
    </font>
    <font>
      <b/>
      <sz val="12"/>
      <name val="Arial"/>
      <family val="2"/>
      <charset val="1"/>
    </font>
    <font>
      <sz val="8"/>
      <name val="Calibri"/>
      <family val="2"/>
      <charset val="1"/>
    </font>
    <font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8901333658864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1" fillId="0" borderId="1" xfId="0" applyFont="1" applyBorder="1"/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16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Normal="100" workbookViewId="0">
      <selection activeCell="A2" sqref="A2"/>
    </sheetView>
  </sheetViews>
  <sheetFormatPr baseColWidth="10" defaultColWidth="10.7109375" defaultRowHeight="15" x14ac:dyDescent="0.2"/>
  <cols>
    <col min="1" max="1" width="27.140625" style="1" customWidth="1"/>
    <col min="2" max="2" width="53" style="1" customWidth="1"/>
    <col min="3" max="16384" width="10.7109375" style="1"/>
  </cols>
  <sheetData>
    <row r="1" spans="1:2" ht="15" customHeight="1" x14ac:dyDescent="0.25">
      <c r="A1" s="2" t="s">
        <v>0</v>
      </c>
    </row>
    <row r="2" spans="1:2" ht="15" customHeight="1" x14ac:dyDescent="0.2">
      <c r="A2" s="3"/>
    </row>
    <row r="3" spans="1:2" ht="15" customHeight="1" x14ac:dyDescent="0.25">
      <c r="A3" s="4" t="s">
        <v>1</v>
      </c>
      <c r="B3" s="4" t="s">
        <v>2</v>
      </c>
    </row>
    <row r="4" spans="1:2" ht="15" customHeight="1" x14ac:dyDescent="0.25">
      <c r="A4" s="4" t="s">
        <v>3</v>
      </c>
      <c r="B4" s="5" t="s">
        <v>4</v>
      </c>
    </row>
    <row r="5" spans="1:2" ht="15" customHeight="1" x14ac:dyDescent="0.25">
      <c r="A5" s="4" t="s">
        <v>5</v>
      </c>
      <c r="B5" s="5" t="s">
        <v>6</v>
      </c>
    </row>
    <row r="6" spans="1:2" ht="15" customHeight="1" x14ac:dyDescent="0.25">
      <c r="A6" s="4" t="s">
        <v>7</v>
      </c>
      <c r="B6" s="5" t="s">
        <v>8</v>
      </c>
    </row>
    <row r="7" spans="1:2" ht="15" customHeight="1" x14ac:dyDescent="0.25">
      <c r="A7" s="4" t="s">
        <v>9</v>
      </c>
      <c r="B7" s="5" t="s">
        <v>10</v>
      </c>
    </row>
    <row r="8" spans="1:2" ht="15" customHeight="1" x14ac:dyDescent="0.25">
      <c r="A8" s="4" t="s">
        <v>11</v>
      </c>
      <c r="B8" s="5" t="s">
        <v>12</v>
      </c>
    </row>
    <row r="9" spans="1:2" ht="15" customHeight="1" x14ac:dyDescent="0.25">
      <c r="A9" s="4" t="s">
        <v>13</v>
      </c>
      <c r="B9" s="5" t="s">
        <v>14</v>
      </c>
    </row>
    <row r="10" spans="1:2" ht="15" customHeight="1" x14ac:dyDescent="0.25">
      <c r="A10" s="4" t="s">
        <v>15</v>
      </c>
      <c r="B10" s="5" t="s">
        <v>16</v>
      </c>
    </row>
    <row r="11" spans="1:2" ht="15" customHeight="1" x14ac:dyDescent="0.25">
      <c r="A11" s="4" t="s">
        <v>17</v>
      </c>
      <c r="B11" s="5" t="s">
        <v>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zoomScaleNormal="100" workbookViewId="0">
      <selection activeCell="D7" sqref="D7"/>
    </sheetView>
  </sheetViews>
  <sheetFormatPr baseColWidth="10" defaultColWidth="8.7109375" defaultRowHeight="15" x14ac:dyDescent="0.2"/>
  <cols>
    <col min="1" max="1" width="23.28515625" style="1" customWidth="1"/>
    <col min="2" max="2" width="23.85546875" style="1" customWidth="1"/>
    <col min="3" max="3" width="28.85546875" style="1" customWidth="1"/>
    <col min="4" max="4" width="43" style="1" customWidth="1"/>
    <col min="5" max="5" width="48" style="1" customWidth="1"/>
    <col min="6" max="6" width="41.28515625" style="1" customWidth="1"/>
    <col min="7" max="7" width="25" style="1" customWidth="1"/>
    <col min="8" max="8" width="25.7109375" style="1" customWidth="1"/>
    <col min="9" max="16384" width="8.7109375" style="1"/>
  </cols>
  <sheetData>
    <row r="1" spans="1:8" ht="15" customHeight="1" x14ac:dyDescent="0.25">
      <c r="A1" s="6" t="s">
        <v>19</v>
      </c>
    </row>
    <row r="2" spans="1:8" x14ac:dyDescent="0.2">
      <c r="A2" s="12"/>
      <c r="B2" s="12"/>
      <c r="C2" s="12"/>
      <c r="D2" s="12"/>
      <c r="E2" s="12"/>
      <c r="F2" s="12"/>
      <c r="G2" s="12"/>
      <c r="H2" s="12"/>
    </row>
    <row r="3" spans="1:8" ht="15" customHeight="1" x14ac:dyDescent="0.25">
      <c r="A3" s="8" t="s">
        <v>3</v>
      </c>
      <c r="B3" s="8" t="s">
        <v>5</v>
      </c>
      <c r="C3" s="8" t="s">
        <v>7</v>
      </c>
      <c r="D3" s="8" t="s">
        <v>9</v>
      </c>
      <c r="E3" s="8" t="s">
        <v>11</v>
      </c>
      <c r="F3" s="9" t="s">
        <v>13</v>
      </c>
      <c r="G3" s="9" t="s">
        <v>15</v>
      </c>
      <c r="H3" s="9" t="s">
        <v>17</v>
      </c>
    </row>
    <row r="4" spans="1:8" ht="31.5" customHeight="1" x14ac:dyDescent="0.2">
      <c r="A4" s="10" t="s">
        <v>20</v>
      </c>
      <c r="B4" s="10" t="s">
        <v>21</v>
      </c>
      <c r="C4" s="10" t="s">
        <v>22</v>
      </c>
      <c r="D4" s="10" t="s">
        <v>23</v>
      </c>
      <c r="E4" s="10" t="s">
        <v>24</v>
      </c>
      <c r="F4" s="11" t="s">
        <v>25</v>
      </c>
      <c r="G4" s="11" t="s">
        <v>26</v>
      </c>
      <c r="H4" s="11"/>
    </row>
    <row r="5" spans="1:8" ht="37.5" customHeight="1" x14ac:dyDescent="0.2">
      <c r="A5" s="10" t="s">
        <v>27</v>
      </c>
      <c r="B5" s="10" t="s">
        <v>21</v>
      </c>
      <c r="C5" s="10" t="s">
        <v>28</v>
      </c>
      <c r="D5" s="10" t="s">
        <v>29</v>
      </c>
      <c r="E5" s="10" t="s">
        <v>30</v>
      </c>
      <c r="F5" s="11" t="s">
        <v>31</v>
      </c>
      <c r="G5" s="11" t="s">
        <v>26</v>
      </c>
      <c r="H5" s="11"/>
    </row>
    <row r="6" spans="1:8" ht="27.75" customHeight="1" x14ac:dyDescent="0.2">
      <c r="A6" s="10" t="s">
        <v>32</v>
      </c>
      <c r="B6" s="10" t="s">
        <v>33</v>
      </c>
      <c r="C6" s="10" t="s">
        <v>34</v>
      </c>
      <c r="D6" s="10" t="s">
        <v>35</v>
      </c>
      <c r="E6" s="10" t="s">
        <v>36</v>
      </c>
      <c r="F6" s="11" t="s">
        <v>37</v>
      </c>
      <c r="G6" s="11" t="s">
        <v>38</v>
      </c>
      <c r="H6" s="11" t="s">
        <v>39</v>
      </c>
    </row>
    <row r="7" spans="1:8" ht="53.25" customHeight="1" x14ac:dyDescent="0.2">
      <c r="A7" s="10" t="s">
        <v>40</v>
      </c>
      <c r="B7" s="10" t="s">
        <v>120</v>
      </c>
      <c r="C7" s="10" t="s">
        <v>41</v>
      </c>
      <c r="D7" s="10" t="s">
        <v>122</v>
      </c>
      <c r="E7" s="10" t="s">
        <v>42</v>
      </c>
      <c r="F7" s="11" t="s">
        <v>123</v>
      </c>
      <c r="G7" s="11" t="s">
        <v>26</v>
      </c>
      <c r="H7" s="11"/>
    </row>
    <row r="8" spans="1:8" ht="60.75" customHeight="1" x14ac:dyDescent="0.2">
      <c r="A8" s="10" t="s">
        <v>43</v>
      </c>
      <c r="B8" s="10" t="s">
        <v>124</v>
      </c>
      <c r="C8" s="10" t="s">
        <v>44</v>
      </c>
      <c r="D8" s="10" t="s">
        <v>121</v>
      </c>
      <c r="E8" s="10" t="s">
        <v>45</v>
      </c>
      <c r="F8" s="11" t="s">
        <v>46</v>
      </c>
      <c r="G8" s="11" t="s">
        <v>38</v>
      </c>
      <c r="H8" s="11" t="s">
        <v>125</v>
      </c>
    </row>
    <row r="9" spans="1:8" ht="49.5" customHeight="1" x14ac:dyDescent="0.2">
      <c r="A9" s="10" t="s">
        <v>47</v>
      </c>
      <c r="B9" s="10" t="s">
        <v>126</v>
      </c>
      <c r="C9" s="10" t="s">
        <v>48</v>
      </c>
      <c r="D9" s="10" t="s">
        <v>49</v>
      </c>
      <c r="E9" s="10" t="s">
        <v>50</v>
      </c>
      <c r="F9" s="11" t="s">
        <v>127</v>
      </c>
      <c r="G9" s="11" t="s">
        <v>26</v>
      </c>
      <c r="H9" s="11"/>
    </row>
    <row r="10" spans="1:8" ht="60.75" customHeight="1" x14ac:dyDescent="0.2">
      <c r="A10" s="10" t="s">
        <v>51</v>
      </c>
      <c r="B10" s="10" t="s">
        <v>128</v>
      </c>
      <c r="C10" s="10" t="s">
        <v>52</v>
      </c>
      <c r="D10" s="10" t="s">
        <v>53</v>
      </c>
      <c r="E10" s="10" t="s">
        <v>54</v>
      </c>
      <c r="F10" s="11" t="s">
        <v>55</v>
      </c>
      <c r="G10" s="11" t="s">
        <v>38</v>
      </c>
      <c r="H10" s="11" t="s">
        <v>129</v>
      </c>
    </row>
    <row r="11" spans="1:8" ht="45" customHeight="1" x14ac:dyDescent="0.2">
      <c r="A11" s="10" t="s">
        <v>56</v>
      </c>
      <c r="B11" s="10" t="s">
        <v>130</v>
      </c>
      <c r="C11" s="10" t="s">
        <v>57</v>
      </c>
      <c r="D11" s="10" t="s">
        <v>58</v>
      </c>
      <c r="E11" s="10" t="s">
        <v>59</v>
      </c>
      <c r="F11" s="11" t="s">
        <v>60</v>
      </c>
      <c r="G11" s="11" t="s">
        <v>26</v>
      </c>
      <c r="H11" s="11"/>
    </row>
    <row r="12" spans="1:8" ht="45" customHeight="1" x14ac:dyDescent="0.2">
      <c r="A12" s="10" t="s">
        <v>61</v>
      </c>
      <c r="B12" s="10" t="s">
        <v>131</v>
      </c>
      <c r="C12" s="10" t="s">
        <v>62</v>
      </c>
      <c r="D12" s="10" t="s">
        <v>63</v>
      </c>
      <c r="E12" s="10" t="s">
        <v>64</v>
      </c>
      <c r="F12" s="11" t="s">
        <v>65</v>
      </c>
      <c r="G12" s="11" t="s">
        <v>38</v>
      </c>
      <c r="H12" s="11" t="s">
        <v>132</v>
      </c>
    </row>
    <row r="13" spans="1:8" ht="45" customHeight="1" x14ac:dyDescent="0.2">
      <c r="A13" s="10" t="s">
        <v>66</v>
      </c>
      <c r="B13" s="10" t="s">
        <v>133</v>
      </c>
      <c r="C13" s="10" t="s">
        <v>67</v>
      </c>
      <c r="D13" s="10" t="s">
        <v>68</v>
      </c>
      <c r="E13" s="10" t="s">
        <v>69</v>
      </c>
      <c r="F13" s="11" t="s">
        <v>70</v>
      </c>
      <c r="G13" s="11" t="s">
        <v>26</v>
      </c>
      <c r="H13" s="11"/>
    </row>
    <row r="14" spans="1:8" ht="45" customHeight="1" x14ac:dyDescent="0.2">
      <c r="A14" s="10" t="s">
        <v>71</v>
      </c>
      <c r="B14" s="10" t="s">
        <v>134</v>
      </c>
      <c r="C14" s="10" t="s">
        <v>72</v>
      </c>
      <c r="D14" s="10" t="s">
        <v>73</v>
      </c>
      <c r="E14" s="10" t="s">
        <v>74</v>
      </c>
      <c r="F14" s="11" t="s">
        <v>75</v>
      </c>
      <c r="G14" s="11" t="s">
        <v>38</v>
      </c>
      <c r="H14" s="11" t="s">
        <v>135</v>
      </c>
    </row>
    <row r="15" spans="1:8" ht="45" customHeight="1" x14ac:dyDescent="0.2">
      <c r="A15" s="10" t="s">
        <v>76</v>
      </c>
      <c r="B15" s="10" t="s">
        <v>139</v>
      </c>
      <c r="C15" s="10" t="s">
        <v>77</v>
      </c>
      <c r="D15" s="10" t="s">
        <v>78</v>
      </c>
      <c r="E15" s="10" t="s">
        <v>79</v>
      </c>
      <c r="F15" s="11" t="s">
        <v>80</v>
      </c>
      <c r="G15" s="11" t="s">
        <v>26</v>
      </c>
      <c r="H15" s="11"/>
    </row>
    <row r="16" spans="1:8" ht="45" customHeight="1" x14ac:dyDescent="0.2">
      <c r="A16" s="10" t="s">
        <v>81</v>
      </c>
      <c r="B16" s="10" t="s">
        <v>138</v>
      </c>
      <c r="C16" s="10" t="s">
        <v>82</v>
      </c>
      <c r="D16" s="10" t="s">
        <v>83</v>
      </c>
      <c r="E16" s="10" t="s">
        <v>84</v>
      </c>
      <c r="F16" s="11" t="s">
        <v>85</v>
      </c>
      <c r="G16" s="11" t="s">
        <v>38</v>
      </c>
      <c r="H16" s="11" t="s">
        <v>136</v>
      </c>
    </row>
    <row r="17" spans="1:8" ht="45" customHeight="1" x14ac:dyDescent="0.2">
      <c r="A17" s="10" t="s">
        <v>86</v>
      </c>
      <c r="B17" s="10" t="s">
        <v>137</v>
      </c>
      <c r="C17" s="10" t="s">
        <v>87</v>
      </c>
      <c r="D17" s="10" t="s">
        <v>88</v>
      </c>
      <c r="E17" s="10" t="s">
        <v>89</v>
      </c>
      <c r="F17" s="11" t="s">
        <v>90</v>
      </c>
      <c r="G17" s="11" t="s">
        <v>26</v>
      </c>
      <c r="H17" s="11"/>
    </row>
    <row r="18" spans="1:8" ht="45" customHeight="1" x14ac:dyDescent="0.2">
      <c r="A18" s="10" t="s">
        <v>91</v>
      </c>
      <c r="B18" s="10" t="s">
        <v>141</v>
      </c>
      <c r="C18" s="10" t="s">
        <v>92</v>
      </c>
      <c r="D18" s="10" t="s">
        <v>93</v>
      </c>
      <c r="E18" s="10" t="s">
        <v>94</v>
      </c>
      <c r="F18" s="11" t="s">
        <v>95</v>
      </c>
      <c r="G18" s="11" t="s">
        <v>38</v>
      </c>
      <c r="H18" s="11" t="s">
        <v>140</v>
      </c>
    </row>
    <row r="19" spans="1:8" ht="45" customHeight="1" x14ac:dyDescent="0.2">
      <c r="A19" s="10" t="s">
        <v>96</v>
      </c>
      <c r="B19" s="10" t="s">
        <v>142</v>
      </c>
      <c r="C19" s="10" t="s">
        <v>97</v>
      </c>
      <c r="D19" s="10" t="s">
        <v>98</v>
      </c>
      <c r="E19" s="10" t="s">
        <v>99</v>
      </c>
      <c r="F19" s="11" t="s">
        <v>100</v>
      </c>
      <c r="G19" s="11" t="s">
        <v>26</v>
      </c>
      <c r="H19" s="11"/>
    </row>
    <row r="20" spans="1:8" ht="45" customHeight="1" x14ac:dyDescent="0.2">
      <c r="A20" s="10" t="s">
        <v>101</v>
      </c>
      <c r="B20" s="10" t="s">
        <v>143</v>
      </c>
      <c r="C20" s="10" t="s">
        <v>102</v>
      </c>
      <c r="D20" s="10" t="s">
        <v>103</v>
      </c>
      <c r="E20" s="10" t="s">
        <v>104</v>
      </c>
      <c r="F20" s="11" t="s">
        <v>105</v>
      </c>
      <c r="G20" s="11" t="s">
        <v>26</v>
      </c>
      <c r="H20" s="11"/>
    </row>
    <row r="21" spans="1:8" x14ac:dyDescent="0.2">
      <c r="A21" s="12"/>
      <c r="B21" s="12"/>
      <c r="C21" s="12"/>
      <c r="D21" s="12"/>
      <c r="E21" s="12"/>
      <c r="F21" s="12"/>
      <c r="G21" s="12"/>
      <c r="H21" s="12"/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zoomScaleNormal="100" workbookViewId="0">
      <selection activeCell="D6" sqref="D6"/>
    </sheetView>
  </sheetViews>
  <sheetFormatPr baseColWidth="10" defaultColWidth="8.7109375" defaultRowHeight="15" x14ac:dyDescent="0.2"/>
  <cols>
    <col min="1" max="1" width="27.85546875" style="1" customWidth="1"/>
    <col min="2" max="2" width="9.28515625" style="1" customWidth="1"/>
    <col min="3" max="16384" width="8.7109375" style="1"/>
  </cols>
  <sheetData>
    <row r="1" spans="1:2" ht="15" customHeight="1" x14ac:dyDescent="0.25">
      <c r="A1" s="6" t="s">
        <v>106</v>
      </c>
    </row>
    <row r="3" spans="1:2" ht="15" customHeight="1" x14ac:dyDescent="0.25">
      <c r="A3" s="7" t="s">
        <v>107</v>
      </c>
      <c r="B3" s="7" t="s">
        <v>108</v>
      </c>
    </row>
    <row r="4" spans="1:2" ht="15" customHeight="1" x14ac:dyDescent="0.2">
      <c r="A4" s="5" t="s">
        <v>109</v>
      </c>
      <c r="B4" s="5">
        <v>21</v>
      </c>
    </row>
    <row r="5" spans="1:2" ht="15" customHeight="1" x14ac:dyDescent="0.2">
      <c r="A5" s="5" t="s">
        <v>110</v>
      </c>
      <c r="B5" s="5">
        <f>COUNTIF(Registro_Pruebas!G4:G20,"Aprobado")</f>
        <v>10</v>
      </c>
    </row>
    <row r="6" spans="1:2" ht="15" customHeight="1" x14ac:dyDescent="0.2">
      <c r="A6" s="5" t="s">
        <v>111</v>
      </c>
      <c r="B6" s="5">
        <f>COUNTIF(Registro_Pruebas!G4:G20,"Fallido")</f>
        <v>7</v>
      </c>
    </row>
    <row r="7" spans="1:2" ht="15" customHeight="1" x14ac:dyDescent="0.2">
      <c r="A7" s="5" t="s">
        <v>112</v>
      </c>
      <c r="B7" s="5">
        <f>COUNTIF(Registro_Pruebas!G4:G20,"Pendiente")</f>
        <v>0</v>
      </c>
    </row>
    <row r="8" spans="1:2" ht="15" customHeight="1" x14ac:dyDescent="0.2">
      <c r="A8" s="5" t="s">
        <v>113</v>
      </c>
      <c r="B8" s="13" t="s">
        <v>144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zoomScaleNormal="100" workbookViewId="0"/>
  </sheetViews>
  <sheetFormatPr baseColWidth="10" defaultColWidth="8.7109375" defaultRowHeight="15" x14ac:dyDescent="0.2"/>
  <cols>
    <col min="1" max="1" width="10.42578125" style="1" customWidth="1"/>
    <col min="2" max="2" width="54.7109375" style="1" customWidth="1"/>
    <col min="3" max="16384" width="8.7109375" style="1"/>
  </cols>
  <sheetData>
    <row r="1" spans="1:2" ht="15" customHeight="1" x14ac:dyDescent="0.25">
      <c r="A1" s="6" t="s">
        <v>114</v>
      </c>
    </row>
    <row r="3" spans="1:2" ht="15" customHeight="1" x14ac:dyDescent="0.25">
      <c r="A3" s="7" t="s">
        <v>15</v>
      </c>
      <c r="B3" s="7" t="s">
        <v>115</v>
      </c>
    </row>
    <row r="4" spans="1:2" ht="15" customHeight="1" x14ac:dyDescent="0.2">
      <c r="A4" s="5" t="s">
        <v>26</v>
      </c>
      <c r="B4" s="5" t="s">
        <v>116</v>
      </c>
    </row>
    <row r="5" spans="1:2" ht="15" customHeight="1" x14ac:dyDescent="0.2">
      <c r="A5" s="5" t="s">
        <v>38</v>
      </c>
      <c r="B5" s="5" t="s">
        <v>117</v>
      </c>
    </row>
    <row r="6" spans="1:2" ht="15" customHeight="1" x14ac:dyDescent="0.2">
      <c r="A6" s="5" t="s">
        <v>118</v>
      </c>
      <c r="B6" s="5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Descripcion_Campos</vt:lpstr>
      <vt:lpstr>Registro_Pruebas</vt:lpstr>
      <vt:lpstr>Resumen_Resultados</vt:lpstr>
      <vt:lpstr>Guia_Estados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JUAN ENRIQUE CID TORRES CID TORRES</cp:lastModifiedBy>
  <cp:revision>0</cp:revision>
  <dcterms:created xsi:type="dcterms:W3CDTF">2026-06-12T13:25:05Z</dcterms:created>
  <dcterms:modified xsi:type="dcterms:W3CDTF">2026-06-21T20:58:37Z</dcterms:modified>
  <dc:language>en-US</dc:language>
</cp:coreProperties>
</file>